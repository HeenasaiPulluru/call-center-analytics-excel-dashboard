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Users\PULLURU HEENASAI\Desktop\"/>
    </mc:Choice>
  </mc:AlternateContent>
  <xr:revisionPtr revIDLastSave="0" documentId="13_ncr:1_{4C711273-686D-44D6-8947-020221CB2C60}" xr6:coauthVersionLast="47" xr6:coauthVersionMax="47" xr10:uidLastSave="{00000000-0000-0000-0000-000000000000}"/>
  <bookViews>
    <workbookView xWindow="11748" yWindow="0" windowWidth="11328" windowHeight="12240" activeTab="2" xr2:uid="{26D4546B-D2A1-4444-8EAF-A6228F96F0C1}"/>
  </bookViews>
  <sheets>
    <sheet name="Pivots" sheetId="6" r:id="rId1"/>
    <sheet name="Data" sheetId="2" r:id="rId2"/>
    <sheet name="Customer center Report"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44" r:id="rId5"/>
    <pivotCache cacheId="47" r:id="rId6"/>
    <pivotCache cacheId="784" r:id="rId7"/>
    <pivotCache cacheId="1239" r:id="rId8"/>
    <pivotCache cacheId="1724" r:id="rId9"/>
    <pivotCache cacheId="1727" r:id="rId10"/>
    <pivotCache cacheId="1730" r:id="rId11"/>
    <pivotCache cacheId="1733" r:id="rId12"/>
    <pivotCache cacheId="1736" r:id="rId13"/>
  </pivotCaches>
  <extLst>
    <ext xmlns:x14="http://schemas.microsoft.com/office/spreadsheetml/2009/9/main" uri="{876F7934-8845-4945-9796-88D515C7AA90}">
      <x14:pivotCaches>
        <pivotCache cacheId="3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S34" i="5" l="1"/>
  <c r="S35" i="5"/>
  <c r="T35" i="5"/>
  <c r="U35" i="5"/>
  <c r="V35" i="5"/>
  <c r="W35" i="5"/>
  <c r="S36" i="5"/>
  <c r="T36" i="5"/>
  <c r="U36" i="5"/>
  <c r="V36" i="5"/>
  <c r="W36" i="5"/>
  <c r="S37" i="5"/>
  <c r="T37" i="5"/>
  <c r="U37" i="5"/>
  <c r="V37" i="5"/>
  <c r="W37" i="5"/>
  <c r="S38" i="5"/>
  <c r="T38" i="5"/>
  <c r="U38" i="5"/>
  <c r="V38" i="5"/>
  <c r="W38" i="5"/>
  <c r="S39" i="5"/>
  <c r="T39" i="5"/>
  <c r="U39" i="5"/>
  <c r="V39" i="5"/>
  <c r="W39" i="5"/>
  <c r="X23" i="5"/>
  <c r="Y23" i="5"/>
  <c r="X24" i="5"/>
  <c r="Y24" i="5"/>
  <c r="X25" i="5"/>
  <c r="Y25" i="5"/>
  <c r="X26" i="5"/>
  <c r="Y26" i="5"/>
  <c r="X28" i="5"/>
  <c r="Y28" i="5"/>
  <c r="X29" i="5"/>
  <c r="Y29" i="5"/>
  <c r="X30" i="5"/>
  <c r="Y30" i="5"/>
  <c r="X31" i="5"/>
  <c r="Y31" i="5"/>
  <c r="X32" i="5"/>
  <c r="Y32" i="5"/>
  <c r="X33" i="5"/>
  <c r="Y33" i="5"/>
  <c r="X35" i="5"/>
  <c r="Y35" i="5"/>
  <c r="X36" i="5"/>
  <c r="Y36" i="5"/>
  <c r="X37" i="5"/>
  <c r="Y37" i="5"/>
  <c r="X38" i="5"/>
  <c r="Y38" i="5"/>
  <c r="X39" i="5"/>
  <c r="Y39" i="5"/>
  <c r="S22" i="5"/>
  <c r="T23" i="5"/>
  <c r="T24" i="5"/>
  <c r="T25" i="5"/>
  <c r="T26" i="5"/>
  <c r="T28" i="5"/>
  <c r="T29" i="5"/>
  <c r="T30" i="5"/>
  <c r="T31" i="5"/>
  <c r="T32" i="5"/>
  <c r="T33" i="5"/>
  <c r="T21" i="5"/>
  <c r="U21" i="5"/>
  <c r="V21" i="5"/>
  <c r="W21" i="5"/>
  <c r="X21" i="5"/>
  <c r="S23" i="5"/>
  <c r="U23" i="5"/>
  <c r="V23" i="5"/>
  <c r="W23" i="5"/>
  <c r="S24" i="5"/>
  <c r="U24" i="5"/>
  <c r="V24" i="5"/>
  <c r="W24" i="5"/>
  <c r="S25" i="5"/>
  <c r="U25" i="5"/>
  <c r="V25" i="5"/>
  <c r="W25" i="5"/>
  <c r="S26" i="5"/>
  <c r="U26" i="5"/>
  <c r="V26" i="5"/>
  <c r="W26" i="5"/>
  <c r="S27" i="5"/>
  <c r="S28" i="5"/>
  <c r="U28" i="5"/>
  <c r="V28" i="5"/>
  <c r="W28" i="5"/>
  <c r="S29" i="5"/>
  <c r="U29" i="5"/>
  <c r="V29" i="5"/>
  <c r="W29" i="5"/>
  <c r="S30" i="5"/>
  <c r="U30" i="5"/>
  <c r="V30" i="5"/>
  <c r="W30" i="5"/>
  <c r="S31" i="5"/>
  <c r="U31" i="5"/>
  <c r="V31" i="5"/>
  <c r="W31" i="5"/>
  <c r="S32" i="5"/>
  <c r="U32" i="5"/>
  <c r="V32" i="5"/>
  <c r="W32" i="5"/>
  <c r="S33" i="5"/>
  <c r="U33" i="5"/>
  <c r="V33" i="5"/>
  <c r="W33" i="5"/>
  <c r="J30" i="6"/>
  <c r="H34" i="6"/>
  <c r="H35" i="6"/>
  <c r="H36" i="6"/>
  <c r="H37" i="6"/>
  <c r="F34" i="6"/>
  <c r="F35" i="6"/>
  <c r="F36" i="6"/>
  <c r="F37" i="6"/>
  <c r="F33" i="6"/>
  <c r="G33" i="6"/>
  <c r="H33" i="6"/>
  <c r="G34" i="6"/>
  <c r="G35" i="6"/>
  <c r="G36" i="6"/>
  <c r="G37"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7" i="6" l="1"/>
  <c r="I36" i="6"/>
  <c r="I35" i="6"/>
  <c r="I37" i="6"/>
  <c r="J33" i="6"/>
  <c r="J35" i="6"/>
  <c r="J34" i="6"/>
  <c r="I34" i="6"/>
  <c r="J36" i="6"/>
  <c r="I3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695A7A-135B-4123-A0AA-62606DEB5E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1C15A8-D272-404E-B4EF-2CD2CF21E2F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EFE44289-C555-4B77-A6C6-6C277DDCA0FE}"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<sst xmlns="http://schemas.openxmlformats.org/spreadsheetml/2006/main" count="3164" uniqueCount="1079">
  <si>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</si>
  <si>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</si>
  <si>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</si>
  <si>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</si>
  <si>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</si>
  <si>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</si>
  <si>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</si>
  <si>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</si>
  <si>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</si>
  <si>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</si>
  <si>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</si>
  <si>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</si>
  <si>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</si>
  <si>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</si>
  <si>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</si>
  <si>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</si>
  <si>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</si>
  <si>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</si>
  <si>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</si>
  <si>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</si>
  <si>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</si>
  <si>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</si>
  <si>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</si>
  <si>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</si>
  <si>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</si>
  <si>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</si>
  <si>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</si>
  <si>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</si>
  <si>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</si>
  <si>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</si>
  <si>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</si>
  <si>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</si>
  <si>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</si>
  <si>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</si>
  <si>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</si>
  <si>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</si>
  <si>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</si>
  <si>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</si>
  <si>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</si>
  <si>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</si>
  <si>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</si>
  <si>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</si>
  <si>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</si>
  <si>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</si>
  <si>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</si>
  <si>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</si>
  <si>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</si>
  <si>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</si>
  <si>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</si>
  <si>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</si>
  <si>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</si>
  <si>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</si>
  <si>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</si>
  <si>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</si>
  <si>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</si>
  <si>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</si>
  <si>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</si>
  <si>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</si>
  <si>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</si>
  <si>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</si>
  <si>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</si>
  <si>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</si>
  <si>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</si>
  <si>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</si>
  <si>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</si>
  <si>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</si>
  <si>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</si>
  <si>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</si>
  <si>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</si>
  <si>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</si>
  <si>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</si>
  <si>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</si>
  <si>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</si>
  <si>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</si>
  <si>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</si>
  <si>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</si>
  <si>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</si>
  <si>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</si>
  <si>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</si>
  <si>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</si>
  <si>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</si>
  <si>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</si>
  <si>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</si>
  <si>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</si>
  <si>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</si>
  <si>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</si>
  <si>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</si>
  <si>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</si>
  <si>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</si>
  <si>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</si>
  <si>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</si>
  <si>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</si>
  <si>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</si>
  <si>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</si>
  <si>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</si>
  <si>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</si>
  <si>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</si>
  <si>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</si>
  <si>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</si>
  <si>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</si>
  <si>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</si>
  <si>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</si>
  <si>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</si>
  <si>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</si>
  <si>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</si>
  <si>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</si>
  <si>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</si>
  <si>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</si>
  <si>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</si>
  <si>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</si>
  <si>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</si>
  <si>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</si>
  <si>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</si>
  <si>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</si>
  <si>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</si>
  <si>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</si>
  <si>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</si>
  <si>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</si>
  <si>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</si>
  <si>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</si>
  <si>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</si>
  <si>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</si>
  <si>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</si>
  <si>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</si>
  <si>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</si>
  <si>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</si>
  <si>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</si>
  <si>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</si>
  <si>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</si>
  <si>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</si>
  <si>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</si>
  <si>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</si>
  <si>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</si>
  <si>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</si>
  <si>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</si>
  <si>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</si>
  <si>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</si>
  <si>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</si>
  <si>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</si>
  <si>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</si>
  <si>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</si>
  <si>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</si>
  <si>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</si>
  <si>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</si>
  <si>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</si>
  <si>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</si>
  <si>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</si>
  <si>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</si>
  <si>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</si>
  <si>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</si>
  <si>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</si>
  <si>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</si>
  <si>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</si>
  <si>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</si>
  <si>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</si>
  <si>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</si>
  <si>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</si>
  <si>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</si>
  <si>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</si>
  <si>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</si>
  <si>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</si>
  <si>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</si>
  <si>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</si>
  <si>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</si>
  <si>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</si>
  <si>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</si>
  <si>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</si>
  <si>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</si>
  <si>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</si>
  <si>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</si>
  <si>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</si>
  <si>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</si>
  <si>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</si>
  <si>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</si>
  <si>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</si>
  <si>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</si>
  <si>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</si>
  <si>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</si>
  <si>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</si>
  <si>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</si>
  <si>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</si>
  <si>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</si>
  <si>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</si>
  <si>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</si>
  <si>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</si>
  <si>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</si>
  <si>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</si>
  <si>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</si>
  <si>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</si>
  <si>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</si>
  <si>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</si>
  <si>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</si>
  <si>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</si>
  <si>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</si>
  <si>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</si>
  <si>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</si>
  <si>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</si>
  <si>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</si>
  <si>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</si>
  <si>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</si>
  <si>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</si>
  <si>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</si>
  <si>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</si>
  <si>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</si>
  <si>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</si>
  <si>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</si>
  <si>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</si>
  <si>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</si>
  <si>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</si>
  <si>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</si>
  <si>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</si>
  <si>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</si>
  <si>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</si>
  <si>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</si>
  <si>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</si>
  <si>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</si>
  <si>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</si>
  <si>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</si>
  <si>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</si>
  <si>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</si>
  <si>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</si>
  <si>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</si>
  <si>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</si>
  <si>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</si>
  <si>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</si>
  <si>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</si>
  <si>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</si>
  <si>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</si>
  <si>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</si>
  <si>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</si>
  <si>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</si>
  <si>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</si>
  <si>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</si>
  <si>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</si>
  <si>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</si>
  <si>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</si>
  <si>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</si>
  <si>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</si>
  <si>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</si>
  <si>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</si>
  <si>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</si>
  <si>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</si>
  <si>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</si>
  <si>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</si>
  <si>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</si>
  <si>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</si>
  <si>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</si>
  <si>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</si>
  <si>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</si>
  <si>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</si>
  <si>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</si>
  <si>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</si>
  <si>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</si>
  <si>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</si>
  <si>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</si>
  <si>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</si>
  <si>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</si>
  <si>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</si>
  <si>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</si>
  <si>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</si>
  <si>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</si>
  <si>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</si>
  <si>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</si>
  <si>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</si>
  <si>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</si>
  <si>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</si>
  <si>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</si>
  <si>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</si>
  <si>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</si>
  <si>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</si>
  <si>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</si>
  <si>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</si>
  <si>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</si>
  <si>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</si>
  <si>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</si>
  <si>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</si>
  <si>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</si>
  <si>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</si>
  <si>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</si>
  <si>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</si>
  <si>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</si>
  <si>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</si>
  <si>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</si>
  <si>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</si>
  <si>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</si>
  <si>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</si>
  <si>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</si>
  <si>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</si>
  <si>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</si>
  <si>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</si>
  <si>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</si>
  <si>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</si>
  <si>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</si>
  <si>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</si>
  <si>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</si>
  <si>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</si>
  <si>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</si>
  <si>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</si>
  <si>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</si>
  <si>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</si>
  <si>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</si>
  <si>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</si>
  <si>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</si>
  <si>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</si>
  <si>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</si>
  <si>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</si>
  <si>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</si>
  <si>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</si>
  <si>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</si>
  <si>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</si>
  <si>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</si>
  <si>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</si>
  <si>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</si>
  <si>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</si>
  <si>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</si>
  <si>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</si>
  <si>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</si>
  <si>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</si>
  <si>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</si>
  <si>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</si>
  <si>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</si>
  <si>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</si>
  <si>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</si>
  <si>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</si>
  <si>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</si>
  <si>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</si>
  <si>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</si>
  <si>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</si>
  <si>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</si>
  <si>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</si>
  <si>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</si>
  <si>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</si>
  <si>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</si>
  <si>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</si>
  <si>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</si>
  <si>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</si>
  <si>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</si>
  <si>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</si>
  <si>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</si>
  <si>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</si>
  <si>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</si>
  <si>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</si>
  <si>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</si>
  <si>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</si>
  <si>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</si>
  <si>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</si>
  <si>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</si>
  <si>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</si>
  <si>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</si>
  <si>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</si>
  <si>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</si>
  <si>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</si>
  <si>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</si>
  <si>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</si>
  <si>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</si>
  <si>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</si>
  <si>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</si>
  <si>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</si>
  <si>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</si>
  <si>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</si>
  <si>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</si>
  <si>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</si>
  <si>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</si>
  <si>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</si>
  <si>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</si>
  <si>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</si>
  <si>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</si>
  <si>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</si>
  <si>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</si>
  <si>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</si>
  <si>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</si>
  <si>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</si>
  <si>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</si>
  <si>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</si>
  <si>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</si>
  <si>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</si>
  <si>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</si>
  <si>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</si>
  <si>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</si>
  <si>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</si>
  <si>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</si>
  <si>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</si>
  <si>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</si>
  <si>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</si>
  <si>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</si>
  <si>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</si>
  <si>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</si>
  <si>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</si>
  <si>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</si>
  <si>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</si>
  <si>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</si>
  <si>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</si>
  <si>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</si>
  <si>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</si>
  <si>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</si>
  <si>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</si>
  <si>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</si>
  <si>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</si>
  <si>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</si>
  <si>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</si>
  <si>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</si>
  <si>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</si>
  <si>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</si>
  <si>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</si>
  <si>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</si>
  <si>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</si>
  <si>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</si>
  <si>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</si>
  <si>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</si>
  <si>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</si>
  <si>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</si>
  <si>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</si>
  <si>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</si>
  <si>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</si>
  <si>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</si>
  <si>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</si>
  <si>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</si>
  <si>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</si>
  <si>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</si>
  <si>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</si>
  <si>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</si>
  <si>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</si>
  <si>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</si>
  <si>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</si>
  <si>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</si>
  <si>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</si>
  <si>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</si>
  <si>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</si>
  <si>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</si>
  <si>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</si>
  <si>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</si>
  <si>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</si>
  <si>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</si>
  <si>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</si>
  <si>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</si>
  <si>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</si>
  <si>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</si>
  <si>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</si>
  <si>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</si>
  <si>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</si>
  <si>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</si>
  <si>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</si>
  <si>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</si>
  <si>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</si>
  <si>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</si>
  <si>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</si>
  <si>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</si>
  <si>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</si>
  <si>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</si>
  <si>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</si>
  <si>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</si>
  <si>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</si>
  <si>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</si>
  <si>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</si>
  <si>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</si>
  <si>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</si>
  <si>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</si>
  <si>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</si>
  <si>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</si>
  <si>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</si>
  <si>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</si>
  <si>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</si>
  <si>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</si>
  <si>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</si>
  <si>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</si>
  <si>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</si>
  <si>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</si>
  <si>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</si>
  <si>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</si>
  <si>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</si>
  <si>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</si>
  <si>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</si>
  <si>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</si>
  <si>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</si>
  <si>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</si>
  <si>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</si>
  <si>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</si>
  <si>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</si>
  <si>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</si>
  <si>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</si>
  <si>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</si>
  <si>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</si>
  <si>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</si>
  <si>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</si>
  <si>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</si>
  <si>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</si>
  <si>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</si>
  <si>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</si>
  <si>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</si>
  <si>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</si>
  <si>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</si>
  <si>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</si>
  <si>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</si>
  <si>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</si>
  <si>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</si>
  <si>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</si>
  <si>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</si>
  <si>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</si>
  <si>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</si>
  <si>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</si>
  <si>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</si>
  <si>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</si>
  <si>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</si>
  <si>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</si>
  <si>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</si>
  <si>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</si>
  <si>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</si>
  <si>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</si>
  <si>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</si>
  <si>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</si>
  <si>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</si>
  <si>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</si>
  <si>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</si>
  <si>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</si>
  <si>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</si>
  <si>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</si>
  <si>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</si>
  <si>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</si>
  <si>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</si>
  <si>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</si>
  <si>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</si>
  <si>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</si>
  <si>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</si>
  <si>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</si>
  <si>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</si>
  <si>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</si>
  <si>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</si>
  <si>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</si>
  <si>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</si>
  <si>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</si>
  <si>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</si>
  <si>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</si>
  <si>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</si>
  <si>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</si>
  <si>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</si>
  <si>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</si>
  <si>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</si>
  <si>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</si>
  <si>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</si>
  <si>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</si>
  <si>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</si>
  <si>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</si>
  <si>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</si>
  <si>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</si>
  <si>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</si>
  <si>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</si>
  <si>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</si>
  <si>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</si>
  <si>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</si>
  <si>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</si>
  <si>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</si>
  <si>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</si>
  <si>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</si>
  <si>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</si>
  <si>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</si>
  <si>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</si>
  <si>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</si>
  <si>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</si>
  <si>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</si>
  <si>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</si>
  <si>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</si>
  <si>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</si>
  <si>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</si>
  <si>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</si>
  <si>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</si>
  <si>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</si>
  <si>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</si>
  <si>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</si>
  <si>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</si>
  <si>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</si>
  <si>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</si>
  <si>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</si>
  <si>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</si>
  <si>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</si>
  <si>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</si>
  <si>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</si>
  <si>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</si>
  <si>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</si>
  <si>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</si>
  <si>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</si>
  <si>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</si>
  <si>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</si>
  <si>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</si>
  <si>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</si>
  <si>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</si>
  <si>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</si>
  <si>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</si>
  <si>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</si>
  <si>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</si>
  <si>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</si>
  <si>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</si>
  <si>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</si>
  <si>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</si>
  <si>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</si>
  <si>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</si>
  <si>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</si>
  <si>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</si>
  <si>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</si>
  <si>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</si>
  <si>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</si>
  <si>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</si>
  <si>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</si>
  <si>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</si>
  <si>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</si>
  <si>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</si>
  <si>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</si>
  <si>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</si>
  <si>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</si>
  <si>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</si>
  <si>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</si>
  <si>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</si>
  <si>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</si>
  <si>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</si>
  <si>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</si>
  <si>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</si>
  <si>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</si>
  <si>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</si>
  <si>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</si>
  <si>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</si>
  <si>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</si>
  <si>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</si>
  <si>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</si>
  <si>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</si>
  <si>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</si>
  <si>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</si>
  <si>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</si>
  <si>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</si>
  <si>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</si>
  <si>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</si>
  <si>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</si>
  <si>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</si>
  <si>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</si>
  <si>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</si>
  <si>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</si>
  <si>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</si>
  <si>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</si>
  <si>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</si>
  <si>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</si>
  <si>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</si>
  <si>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</si>
  <si>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</si>
  <si>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</si>
  <si>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</si>
  <si>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</si>
  <si>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</si>
  <si>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</si>
  <si>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</si>
  <si>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</si>
  <si>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</si>
  <si>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</si>
  <si>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</si>
  <si>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</si>
  <si>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</si>
  <si>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</si>
  <si>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</si>
  <si>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</si>
  <si>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</si>
  <si>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</si>
  <si>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</si>
  <si>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</si>
  <si>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</si>
  <si>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</si>
  <si>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</si>
  <si>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</si>
  <si>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</si>
  <si>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</si>
  <si>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</si>
  <si>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</si>
  <si>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</si>
  <si>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</si>
  <si>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</si>
  <si>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</si>
  <si>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</si>
  <si>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</si>
  <si>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</si>
  <si>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</si>
  <si>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</si>
  <si>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</si>
  <si>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</si>
  <si>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</si>
  <si>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</si>
  <si>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</si>
  <si>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</si>
  <si>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</si>
  <si>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</si>
  <si>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</si>
  <si>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</si>
  <si>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</si>
  <si>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</si>
  <si>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</si>
  <si>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</si>
  <si>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</si>
  <si>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</si>
  <si>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</si>
  <si>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</si>
  <si>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</si>
  <si>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</si>
  <si>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</si>
  <si>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</si>
  <si>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</si>
  <si>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</si>
  <si>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</si>
  <si>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</si>
  <si>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</si>
  <si>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</si>
  <si>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</si>
  <si>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</si>
  <si>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</si>
  <si>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</si>
  <si>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</si>
  <si>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</si>
  <si>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</si>
  <si>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</si>
  <si>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</si>
  <si>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</si>
  <si>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</si>
  <si>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</si>
  <si>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</si>
  <si>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</si>
  <si>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</si>
  <si>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</si>
  <si>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</si>
  <si>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</si>
  <si>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</si>
  <si>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</si>
  <si>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</si>
  <si>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</si>
  <si>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</si>
  <si>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</si>
  <si>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</si>
  <si>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</si>
  <si>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</si>
  <si>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</si>
  <si>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</si>
  <si>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</si>
  <si>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</si>
  <si>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</si>
  <si>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</si>
  <si>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</si>
  <si>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</si>
  <si>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</si>
  <si>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</si>
  <si>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</si>
  <si>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</si>
  <si>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</si>
  <si>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</si>
  <si>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</si>
  <si>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</si>
  <si>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</si>
  <si>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</si>
  <si>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</si>
  <si>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</si>
  <si>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</si>
  <si>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</si>
  <si>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</si>
  <si>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</si>
  <si>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</si>
  <si>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</si>
  <si>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</si>
  <si>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</si>
  <si>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</si>
  <si>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</si>
  <si>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</si>
  <si>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</si>
  <si>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</si>
  <si>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</si>
  <si>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</si>
  <si>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</si>
  <si>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</si>
  <si>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</si>
  <si>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</si>
  <si>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</si>
  <si>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</si>
  <si>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</si>
  <si>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</si>
  <si>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</si>
  <si>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</si>
  <si>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</si>
  <si>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</si>
  <si>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</si>
  <si>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</si>
  <si>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</si>
  <si>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</si>
  <si>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</si>
  <si>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</si>
  <si>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</si>
  <si>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</si>
  <si>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</si>
  <si>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</si>
  <si>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</si>
  <si>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</si>
  <si>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</si>
  <si>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</si>
  <si>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</si>
  <si>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</si>
  <si>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</si>
  <si>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</si>
  <si>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</si>
  <si>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</si>
  <si>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</si>
  <si>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</si>
  <si>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</si>
  <si>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</si>
  <si>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</si>
  <si>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</si>
  <si>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</si>
  <si>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</si>
  <si>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</si>
  <si>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</si>
  <si>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</si>
  <si>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</si>
  <si>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</si>
  <si>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</si>
  <si>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</si>
  <si>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</si>
  <si>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</si>
  <si>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</si>
  <si>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</si>
  <si>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</si>
  <si>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</si>
  <si>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</si>
  <si>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</si>
  <si>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</si>
  <si>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</si>
  <si>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</si>
  <si>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</si>
  <si>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</si>
  <si>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</si>
  <si>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</si>
  <si>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</si>
  <si>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</si>
  <si>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</si>
  <si>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</si>
  <si>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</si>
  <si>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</si>
  <si>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</si>
  <si>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</si>
  <si>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</si>
  <si>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</si>
  <si>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</si>
  <si>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</si>
  <si>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</si>
  <si>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</si>
  <si>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</si>
  <si>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</si>
  <si>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</si>
  <si>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</si>
  <si>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</si>
  <si>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</si>
  <si>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</si>
  <si>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</si>
  <si>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</si>
  <si>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</si>
  <si>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</si>
  <si>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</si>
  <si>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</si>
  <si>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</si>
  <si>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</si>
  <si>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</si>
  <si>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</si>
  <si>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</si>
  <si>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</si>
  <si>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</si>
  <si>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</si>
  <si>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</si>
  <si>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</si>
  <si>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</si>
  <si>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</si>
  <si>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</si>
  <si>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</si>
  <si>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</si>
  <si>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</si>
  <si>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</si>
  <si>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</si>
  <si>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</si>
  <si>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</si>
  <si>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</si>
  <si>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</si>
  <si>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</si>
  <si>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</si>
  <si>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</si>
  <si>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</si>
  <si>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</si>
  <si>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</si>
  <si>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</si>
  <si>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</si>
  <si>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</si>
  <si>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</si>
  <si>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</si>
  <si>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</si>
  <si>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</si>
  <si>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</si>
  <si>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</si>
  <si>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</si>
  <si>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</si>
  <si>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</si>
  <si>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</si>
  <si>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</si>
  <si>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</si>
  <si>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</si>
  <si>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</si>
  <si>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</si>
  <si>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</si>
  <si>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</si>
  <si>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</si>
  <si>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</si>
  <si>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</si>
  <si>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</si>
  <si>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</si>
  <si>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</si>
  <si>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</si>
  <si>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</si>
  <si>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</si>
  <si>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</si>
  <si>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</si>
  <si>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</si>
  <si>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</si>
  <si>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</si>
  <si>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</si>
  <si>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</si>
  <si>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</si>
  <si>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</si>
  <si>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</si>
  <si>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</si>
  <si>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</si>
  <si>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</si>
  <si>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</si>
  <si>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</si>
  <si>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</si>
  <si>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</si>
  <si>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</si>
  <si>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</si>
  <si>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</si>
  <si>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</si>
  <si>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</si>
  <si>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</si>
  <si>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</si>
  <si>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</si>
  <si>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</si>
  <si>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</si>
  <si>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</si>
  <si>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</si>
  <si>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</si>
  <si>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</si>
  <si>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</si>
  <si>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</si>
  <si>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</si>
  <si>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</si>
  <si>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</si>
  <si>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</si>
  <si>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</si>
  <si>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</si>
  <si>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</si>
  <si>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</si>
  <si>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</si>
  <si>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</si>
  <si>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</si>
  <si>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</si>
  <si>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</si>
  <si>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</si>
  <si>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</si>
  <si>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</si>
  <si>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</si>
  <si>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</si>
  <si>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</si>
  <si>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</si>
  <si>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</si>
  <si>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</si>
  <si>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</si>
  <si>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</si>
  <si>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</si>
  <si>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</si>
  <si>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</si>
  <si>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</si>
  <si>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</si>
  <si>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</si>
  <si>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</si>
  <si>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</si>
  <si>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</si>
  <si>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</si>
  <si>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</si>
  <si>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</si>
  <si>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</si>
  <si>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</si>
  <si>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</si>
  <si>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</si>
  <si>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</si>
  <si>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</si>
  <si>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</si>
  <si>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</si>
  <si>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</si>
  <si>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</si>
  <si>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</si>
  <si>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</si>
  <si>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</si>
  <si>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</si>
  <si>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</si>
  <si>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</si>
  <si>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</si>
  <si>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</si>
  <si>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</si>
  <si>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</si>
  <si>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</si>
  <si>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</si>
  <si>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</si>
  <si>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</si>
  <si>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</si>
  <si>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</si>
  <si>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</si>
  <si>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</si>
  <si>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</si>
  <si>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</si>
  <si>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</si>
  <si>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</si>
  <si>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</si>
  <si>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</si>
  <si>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</si>
  <si>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</si>
  <si>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</si>
  <si>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</si>
  <si>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</si>
  <si>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</si>
  <si>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</si>
  <si>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</si>
  <si>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</si>
  <si>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</si>
  <si>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</si>
  <si>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</si>
  <si>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</si>
  <si>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</si>
  <si>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</si>
  <si>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</si>
  <si>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</si>
  <si>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</si>
  <si>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</si>
  <si>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</si>
  <si>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</si>
  <si>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</si>
  <si>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</si>
  <si>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</si>
  <si>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</si>
  <si>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</si>
  <si>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</si>
  <si>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</si>
  <si>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</si>
  <si>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</si>
  <si>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</si>
  <si>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</si>
  <si>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</si>
  <si>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</si>
  <si>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</si>
  <si>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</si>
  <si>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</si>
  <si>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</si>
  <si>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</si>
  <si>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</si>
  <si>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</si>
  <si>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</si>
  <si>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</si>
  <si>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</si>
  <si>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</si>
  <si>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</si>
  <si>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</si>
  <si>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</si>
  <si>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</si>
  <si>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</si>
  <si>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</si>
  <si>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</si>
  <si>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</si>
  <si>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</si>
  <si>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 xml:space="preserve"> </t>
  </si>
  <si>
    <t>Reps</t>
  </si>
  <si>
    <t>Calls</t>
  </si>
  <si>
    <t>Amount</t>
  </si>
  <si>
    <t>Sel.Calls</t>
  </si>
  <si>
    <t>Sel.Amount</t>
  </si>
  <si>
    <t xml:space="preserve">Selected rep </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</si>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</sst>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 #,###.0,&quot;k&quot;"/>
    <numFmt numFmtId="169" formatCode="[$$-45C]#,##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0" fillId="0" borderId="0" xfId="0" applyAlignment="1">
      <alignment horizontal="left" indent="1"/>
    </xf>
    <xf numFmtId="0" fontId="0" fillId="3" borderId="0" xfId="0" applyFill="1" applyAlignment="1">
      <alignment horizontal="left" indent="1"/>
    </xf>
    <xf numFmtId="0" fontId="4" fillId="4" borderId="10" xfId="0" applyFont="1" applyFill="1" applyBorder="1"/>
    <xf numFmtId="0" fontId="4" fillId="4" borderId="13" xfId="0" applyFont="1" applyFill="1" applyBorder="1" applyAlignment="1">
      <alignment horizontal="left" indent="1"/>
    </xf>
    <xf numFmtId="169" fontId="4" fillId="4" borderId="0" xfId="0" applyNumberFormat="1" applyFont="1" applyFill="1" applyBorder="1"/>
    <xf numFmtId="0" fontId="4" fillId="4" borderId="15" xfId="0" applyFont="1" applyFill="1" applyBorder="1" applyAlignment="1">
      <alignment horizontal="left" indent="1"/>
    </xf>
    <xf numFmtId="169" fontId="4" fillId="4" borderId="16" xfId="0" applyNumberFormat="1" applyFont="1" applyFill="1" applyBorder="1"/>
    <xf numFmtId="169" fontId="5" fillId="4" borderId="11" xfId="0" applyNumberFormat="1" applyFont="1" applyFill="1" applyBorder="1"/>
    <xf numFmtId="0" fontId="5" fillId="4" borderId="13" xfId="0" applyFont="1" applyFill="1" applyBorder="1" applyAlignment="1">
      <alignment horizontal="left" indent="1"/>
    </xf>
    <xf numFmtId="169" fontId="5" fillId="4" borderId="12" xfId="0" applyNumberFormat="1" applyFont="1" applyFill="1" applyBorder="1" applyAlignment="1">
      <alignment horizontal="left" indent="1"/>
    </xf>
    <xf numFmtId="169" fontId="4" fillId="4" borderId="14" xfId="0" applyNumberFormat="1" applyFont="1" applyFill="1" applyBorder="1" applyAlignment="1">
      <alignment horizontal="left" indent="1"/>
    </xf>
    <xf numFmtId="169" fontId="4" fillId="4" borderId="17" xfId="0" applyNumberFormat="1" applyFont="1" applyFill="1" applyBorder="1" applyAlignment="1">
      <alignment horizontal="left" indent="1"/>
    </xf>
  </cellXfs>
  <cellStyles count="1">
    <cellStyle name="Normal" xfId="0" builtinId="0"/>
  </cellStyles>
  <dxfs count="20">
    <dxf>
      <fill>
        <patternFill>
          <bgColor theme="8" tint="0.59996337778862885"/>
        </patternFill>
      </fill>
      <border>
        <left style="thin">
          <color theme="1" tint="0.34998626667073579"/>
        </left>
        <right style="thin">
          <color theme="1" tint="0.34998626667073579"/>
        </right>
        <vertical/>
        <horizontal/>
      </border>
    </dxf>
    <dxf>
      <font>
        <b/>
        <color theme="1"/>
      </font>
      <border>
        <bottom style="thin">
          <color theme="9"/>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font>
        <b/>
        <color theme="1"/>
      </font>
      <border>
        <bottom style="thin">
          <color theme="8"/>
        </bottom>
        <vertical/>
        <horizontal/>
      </border>
    </dxf>
    <dxf>
      <font>
        <color theme="1"/>
      </font>
      <fill>
        <patternFill>
          <bgColor theme="0" tint="-0.14996795556505021"/>
        </patternFill>
      </fill>
      <border>
        <left style="thin">
          <color theme="8"/>
        </left>
        <right style="thin">
          <color theme="8"/>
        </right>
        <top style="thin">
          <color theme="8"/>
        </top>
        <bottom style="thin">
          <color theme="8"/>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19"/>
    </tableStyle>
    <tableStyle name="SlicerStyleDark5 2" pivot="0" table="0" count="10" xr9:uid="{271EADC9-DB19-4B5A-91FE-DAF5D17D4DC1}">
      <tableStyleElement type="wholeTable" dxfId="4"/>
      <tableStyleElement type="headerRow" dxfId="3"/>
    </tableStyle>
    <tableStyle name="SlicerStyleLight6 2" pivot="0" table="0" count="10" xr9:uid="{2913ADE8-5F02-4FC2-A659-66C4D4B24445}">
      <tableStyleElement type="wholeTable" dxfId="2"/>
      <tableStyleElement type="headerRow" dxfId="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 Target="richData/rdrichvalue.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[07.sample-data-excel-portfolio-project1.xlsx]Pivots!day of the week-call count</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Pivots!$G$17:$G$24</c:f>
              <c:strCache>
                <c:ptCount val="7"/>
                <c:pt idx="0">
                  <c:v>Monday</c:v>
                </c:pt>
                <c:pt idx="1">
                  <c:v>Tuesday</c:v>
                </c:pt>
                <c:pt idx="2">
                  <c:v>Wednesday</c:v>
                </c:pt>
                <c:pt idx="3">
                  <c:v>Thursday</c:v>
                </c:pt>
                <c:pt idx="4">
                  <c:v>Friday</c:v>
                </c:pt>
                <c:pt idx="5">
                  <c:v>Saturday</c:v>
                </c:pt>
                <c:pt idx="6">
                  <c:v>Sunday</c:v>
                </c:pt>
              </c:strCache>
            </c:strRef>
          </c:cat>
          <c:val>
            <c:numRef>
              <c:f>Pivots!$H$17:$H$24</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8428-45D0-91C8-E76E9F11C183}"/>
            </c:ext>
          </c:extLst>
        </c:ser>
        <c:dLbls>
          <c:dLblPos val="outEnd"/>
          <c:showLegendKey val="0"/>
          <c:showVal val="1"/>
          <c:showCatName val="0"/>
          <c:showSerName val="0"/>
          <c:showPercent val="0"/>
          <c:showBubbleSize val="0"/>
        </c:dLbls>
        <c:gapWidth val="25"/>
        <c:axId val="1617788704"/>
        <c:axId val="1617793984"/>
      </c:barChart>
      <c:catAx>
        <c:axId val="1617788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93984"/>
        <c:crosses val="autoZero"/>
        <c:auto val="1"/>
        <c:lblAlgn val="ctr"/>
        <c:lblOffset val="100"/>
        <c:noMultiLvlLbl val="0"/>
      </c:catAx>
      <c:valAx>
        <c:axId val="1617793984"/>
        <c:scaling>
          <c:orientation val="minMax"/>
        </c:scaling>
        <c:delete val="1"/>
        <c:axPos val="b"/>
        <c:numFmt formatCode="#,##0" sourceLinked="1"/>
        <c:majorTickMark val="out"/>
        <c:minorTickMark val="none"/>
        <c:tickLblPos val="nextTo"/>
        <c:crossAx val="161778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[07.sample-data-excel-portfolio-project1.xlsx]Pivots!Call count-Month</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6"/>
                </a:solidFill>
              </a:rPr>
              <a:t>Call</a:t>
            </a:r>
            <a:r>
              <a:rPr lang="en-IN" b="1" baseline="0">
                <a:solidFill>
                  <a:schemeClr val="accent6"/>
                </a:solidFill>
              </a:rPr>
              <a:t> Trend</a:t>
            </a:r>
            <a:endParaRPr lang="en-IN" b="1">
              <a:solidFill>
                <a:schemeClr val="accent6"/>
              </a:solidFill>
            </a:endParaRPr>
          </a:p>
        </c:rich>
      </c:tx>
      <c:layout>
        <c:manualLayout>
          <c:xMode val="edge"/>
          <c:yMode val="edge"/>
          <c:x val="5.725000000000003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schemeClr>
              </a:gs>
              <a:gs pos="100000">
                <a:schemeClr val="accent6"/>
              </a:gs>
            </a:gsLst>
            <a:lin ang="16200000" scaled="1"/>
            <a:tileRect/>
          </a:gradFill>
          <a:ln>
            <a:gradFill>
              <a:gsLst>
                <a:gs pos="0">
                  <a:schemeClr val="accent6"/>
                </a:gs>
                <a:gs pos="100000">
                  <a:schemeClr val="accent6"/>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5400">
              <a:solidFill>
                <a:schemeClr val="tx1"/>
              </a:solidFill>
            </a:ln>
            <a:effectLst/>
          </c:spPr>
        </c:marker>
      </c:pivotFmt>
    </c:pivotFmts>
    <c:plotArea>
      <c:layout/>
      <c:areaChart>
        <c:grouping val="standard"/>
        <c:varyColors val="0"/>
        <c:ser>
          <c:idx val="1"/>
          <c:order val="1"/>
          <c:tx>
            <c:strRef>
              <c:f>Pivots!$C$16</c:f>
              <c:strCache>
                <c:ptCount val="1"/>
                <c:pt idx="0">
                  <c:v>Call Count2</c:v>
                </c:pt>
              </c:strCache>
            </c:strRef>
          </c:tx>
          <c:spPr>
            <a:gradFill flip="none" rotWithShape="1">
              <a:gsLst>
                <a:gs pos="0">
                  <a:schemeClr val="accent6">
                    <a:lumMod val="60000"/>
                    <a:lumOff val="40000"/>
                  </a:schemeClr>
                </a:gs>
                <a:gs pos="100000">
                  <a:schemeClr val="accent6"/>
                </a:gs>
              </a:gsLst>
              <a:lin ang="16200000" scaled="1"/>
              <a:tileRect/>
            </a:gradFill>
            <a:ln>
              <a:gradFill>
                <a:gsLst>
                  <a:gs pos="0">
                    <a:schemeClr val="accent6"/>
                  </a:gs>
                  <a:gs pos="100000">
                    <a:schemeClr val="accent6"/>
                  </a:gs>
                </a:gsLst>
                <a:lin ang="5400000" scaled="1"/>
              </a:grad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9337-4073-995D-BE622ECADC15}"/>
            </c:ext>
          </c:extLst>
        </c:ser>
        <c:dLbls>
          <c:showLegendKey val="0"/>
          <c:showVal val="0"/>
          <c:showCatName val="0"/>
          <c:showSerName val="0"/>
          <c:showPercent val="0"/>
          <c:showBubbleSize val="0"/>
        </c:dLbls>
        <c:axId val="1924036832"/>
        <c:axId val="1924020992"/>
      </c:areaChart>
      <c:lineChart>
        <c:grouping val="standard"/>
        <c:varyColors val="0"/>
        <c:ser>
          <c:idx val="0"/>
          <c:order val="0"/>
          <c:tx>
            <c:strRef>
              <c:f>Pivots!$B$16</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9337-4073-995D-BE622ECADC15}"/>
            </c:ext>
          </c:extLst>
        </c:ser>
        <c:dLbls>
          <c:showLegendKey val="0"/>
          <c:showVal val="0"/>
          <c:showCatName val="0"/>
          <c:showSerName val="0"/>
          <c:showPercent val="0"/>
          <c:showBubbleSize val="0"/>
        </c:dLbls>
        <c:marker val="1"/>
        <c:smooth val="0"/>
        <c:axId val="1924036832"/>
        <c:axId val="1924020992"/>
      </c:lineChart>
      <c:catAx>
        <c:axId val="19240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20992"/>
        <c:crosses val="autoZero"/>
        <c:auto val="1"/>
        <c:lblAlgn val="ctr"/>
        <c:lblOffset val="100"/>
        <c:noMultiLvlLbl val="0"/>
      </c:catAx>
      <c:valAx>
        <c:axId val="192402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3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Calls</a:t>
            </a:r>
          </a:p>
        </c:rich>
      </c:tx>
      <c:layout>
        <c:manualLayout>
          <c:xMode val="edge"/>
          <c:yMode val="edge"/>
          <c:x val="0.42213884233493548"/>
          <c:y val="2.2580648029038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Pivots!$F$33:$F$37</c:f>
              <c:strCache>
                <c:ptCount val="5"/>
                <c:pt idx="0">
                  <c:v>R01</c:v>
                </c:pt>
                <c:pt idx="1">
                  <c:v>R02</c:v>
                </c:pt>
                <c:pt idx="2">
                  <c:v>R03</c:v>
                </c:pt>
                <c:pt idx="3">
                  <c:v>R04</c:v>
                </c:pt>
                <c:pt idx="4">
                  <c:v>R05</c:v>
                </c:pt>
              </c:strCache>
            </c:strRef>
          </c:cat>
          <c:val>
            <c:numRef>
              <c:f>Pivots!$G$33:$G$37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867-4472-9452-B334DAE8FDD9}"/>
            </c:ext>
          </c:extLst>
        </c:ser>
        <c:ser>
          <c:idx val="1"/>
          <c:order val="1"/>
          <c:tx>
            <c:strRef>
              <c:f>Pivots!$I$32</c:f>
              <c:strCache>
                <c:ptCount val="1"/>
                <c:pt idx="0">
                  <c:v>Sel.Calls</c:v>
                </c:pt>
              </c:strCache>
            </c:strRef>
          </c:tx>
          <c:spPr>
            <a:gradFill>
              <a:gsLst>
                <a:gs pos="100000">
                  <a:schemeClr val="accent5"/>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Pivots!$I$33:$I$37</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A867-4472-9452-B334DAE8FDD9}"/>
            </c:ext>
          </c:extLst>
        </c:ser>
        <c:dLbls>
          <c:dLblPos val="outEnd"/>
          <c:showLegendKey val="0"/>
          <c:showVal val="1"/>
          <c:showCatName val="0"/>
          <c:showSerName val="0"/>
          <c:showPercent val="0"/>
          <c:showBubbleSize val="0"/>
        </c:dLbls>
        <c:gapWidth val="25"/>
        <c:overlap val="100"/>
        <c:axId val="968951663"/>
        <c:axId val="968968943"/>
      </c:barChart>
      <c:catAx>
        <c:axId val="9689516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68943"/>
        <c:crosses val="autoZero"/>
        <c:auto val="1"/>
        <c:lblAlgn val="ctr"/>
        <c:lblOffset val="100"/>
        <c:noMultiLvlLbl val="0"/>
      </c:catAx>
      <c:valAx>
        <c:axId val="968968943"/>
        <c:scaling>
          <c:orientation val="minMax"/>
          <c:min val="0"/>
        </c:scaling>
        <c:delete val="1"/>
        <c:axPos val="t"/>
        <c:numFmt formatCode="General" sourceLinked="1"/>
        <c:majorTickMark val="out"/>
        <c:minorTickMark val="none"/>
        <c:tickLblPos val="nextTo"/>
        <c:crossAx val="96895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r>
              <a:rPr lang="en-IN" b="1">
                <a:solidFill>
                  <a:schemeClr val="accent5"/>
                </a:solidFill>
              </a:rPr>
              <a:t>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Pivots!$F$33:$F$37</c:f>
              <c:strCache>
                <c:ptCount val="5"/>
                <c:pt idx="0">
                  <c:v>R01</c:v>
                </c:pt>
                <c:pt idx="1">
                  <c:v>R02</c:v>
                </c:pt>
                <c:pt idx="2">
                  <c:v>R03</c:v>
                </c:pt>
                <c:pt idx="3">
                  <c:v>R04</c:v>
                </c:pt>
                <c:pt idx="4">
                  <c:v>R05</c:v>
                </c:pt>
              </c:strCache>
            </c:strRef>
          </c:cat>
          <c:val>
            <c:numRef>
              <c:f>Pivots!$H$33:$H$37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454-4944-BCCD-7AC808E9F607}"/>
            </c:ext>
          </c:extLst>
        </c:ser>
        <c:ser>
          <c:idx val="2"/>
          <c:order val="2"/>
          <c:tx>
            <c:strRef>
              <c:f>Pivots!$J$32</c:f>
              <c:strCache>
                <c:ptCount val="1"/>
                <c:pt idx="0">
                  <c:v>Sel.Amount</c:v>
                </c:pt>
              </c:strCache>
            </c:strRef>
          </c:tx>
          <c:spPr>
            <a:gradFill>
              <a:gsLst>
                <a:gs pos="100000">
                  <a:schemeClr val="accent5"/>
                </a:gs>
                <a:gs pos="100000">
                  <a:schemeClr val="accent1">
                    <a:lumMod val="30000"/>
                    <a:lumOff val="70000"/>
                  </a:schemeClr>
                </a:gs>
              </a:gsLst>
              <a:lin ang="5400000" scaled="1"/>
            </a:gradFill>
            <a:ln>
              <a:noFill/>
            </a:ln>
            <a:effectLst/>
          </c:spPr>
          <c:invertIfNegative val="0"/>
          <c:val>
            <c:numRef>
              <c:f>Pivots!$J$33:$J$37</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3454-4944-BCCD-7AC808E9F607}"/>
            </c:ext>
          </c:extLst>
        </c:ser>
        <c:dLbls>
          <c:showLegendKey val="0"/>
          <c:showVal val="0"/>
          <c:showCatName val="0"/>
          <c:showSerName val="0"/>
          <c:showPercent val="0"/>
          <c:showBubbleSize val="0"/>
        </c:dLbls>
        <c:gapWidth val="25"/>
        <c:overlap val="100"/>
        <c:axId val="967926543"/>
        <c:axId val="967927983"/>
        <c:extLst>
          <c:ext xmlns:c15="http://schemas.microsoft.com/office/drawing/2012/chart" uri="{02D57815-91ED-43cb-92C2-25804820EDAC}">
            <c15:filteredBarSeries>
              <c15:ser>
                <c:idx val="1"/>
                <c:order val="1"/>
                <c:tx>
                  <c:strRef>
                    <c:extLst>
                      <c:ext uri="{02D57815-91ED-43cb-92C2-25804820EDAC}">
                        <c15:formulaRef>
                          <c15:sqref>Pivots!$I$32:$I$37</c15:sqref>
                        </c15:formulaRef>
                      </c:ext>
                    </c:extLst>
                    <c:strCache>
                      <c:ptCount val="6"/>
                      <c:pt idx="0">
                        <c:v>Sel.Calls</c:v>
                      </c:pt>
                      <c:pt idx="1">
                        <c:v>#N/A</c:v>
                      </c:pt>
                      <c:pt idx="2">
                        <c:v>218</c:v>
                      </c:pt>
                      <c:pt idx="3">
                        <c:v>#N/A</c:v>
                      </c:pt>
                      <c:pt idx="4">
                        <c:v>#N/A</c:v>
                      </c:pt>
                      <c:pt idx="5">
                        <c:v>#N/A</c:v>
                      </c:pt>
                    </c:strCache>
                  </c:strRef>
                </c:tx>
                <c:spPr>
                  <a:solidFill>
                    <a:schemeClr val="accent2"/>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2-3454-4944-BCCD-7AC808E9F607}"/>
                  </c:ext>
                </c:extLst>
              </c15:ser>
            </c15:filteredBarSeries>
          </c:ext>
        </c:extLst>
      </c:barChart>
      <c:catAx>
        <c:axId val="967926543"/>
        <c:scaling>
          <c:orientation val="maxMin"/>
        </c:scaling>
        <c:delete val="1"/>
        <c:axPos val="l"/>
        <c:numFmt formatCode="General" sourceLinked="1"/>
        <c:majorTickMark val="out"/>
        <c:minorTickMark val="none"/>
        <c:tickLblPos val="nextTo"/>
        <c:crossAx val="967927983"/>
        <c:crosses val="autoZero"/>
        <c:auto val="1"/>
        <c:lblAlgn val="ctr"/>
        <c:lblOffset val="100"/>
        <c:noMultiLvlLbl val="0"/>
      </c:catAx>
      <c:valAx>
        <c:axId val="967927983"/>
        <c:scaling>
          <c:orientation val="minMax"/>
        </c:scaling>
        <c:delete val="1"/>
        <c:axPos val="t"/>
        <c:numFmt formatCode="&quot;₹&quot;\ #,###.0,&quot;k&quot;" sourceLinked="1"/>
        <c:majorTickMark val="out"/>
        <c:minorTickMark val="none"/>
        <c:tickLblPos val="nextTo"/>
        <c:crossAx val="96792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[07.sample-data-excel-portfolio-project1.xlsx]Pivots!PivotTable3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1" baseline="0"/>
              <a:t> vs. </a:t>
            </a:r>
            <a:r>
              <a:rPr lang="en-IN" b="1" baseline="0">
                <a:solidFill>
                  <a:schemeClr val="accent4"/>
                </a:solidFill>
              </a:rPr>
              <a:t>Male </a:t>
            </a:r>
            <a:r>
              <a:rPr lang="en-IN" b="1" baseline="0"/>
              <a:t>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Pivots!$B$45:$B$46</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Pivots!$A$47:$A$50</c:f>
              <c:strCache>
                <c:ptCount val="3"/>
                <c:pt idx="0">
                  <c:v>Cincinnati</c:v>
                </c:pt>
                <c:pt idx="1">
                  <c:v>Cleveland</c:v>
                </c:pt>
                <c:pt idx="2">
                  <c:v>Columbus</c:v>
                </c:pt>
              </c:strCache>
            </c:strRef>
          </c:cat>
          <c:val>
            <c:numRef>
              <c:f>Pivots!$B$47:$B$50</c:f>
              <c:numCache>
                <c:formatCode>#,##0</c:formatCode>
                <c:ptCount val="3"/>
                <c:pt idx="0">
                  <c:v>144</c:v>
                </c:pt>
                <c:pt idx="1">
                  <c:v>326</c:v>
                </c:pt>
                <c:pt idx="2">
                  <c:v>129</c:v>
                </c:pt>
              </c:numCache>
            </c:numRef>
          </c:val>
          <c:extLst>
            <c:ext xmlns:c16="http://schemas.microsoft.com/office/drawing/2014/chart" uri="{C3380CC4-5D6E-409C-BE32-E72D297353CC}">
              <c16:uniqueId val="{00000000-9A37-490B-AFEF-621AA4979649}"/>
            </c:ext>
          </c:extLst>
        </c:ser>
        <c:ser>
          <c:idx val="1"/>
          <c:order val="1"/>
          <c:tx>
            <c:strRef>
              <c:f>Pivots!$C$45:$C$46</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Pivots!$A$47:$A$50</c:f>
              <c:strCache>
                <c:ptCount val="3"/>
                <c:pt idx="0">
                  <c:v>Cincinnati</c:v>
                </c:pt>
                <c:pt idx="1">
                  <c:v>Cleveland</c:v>
                </c:pt>
                <c:pt idx="2">
                  <c:v>Columbus</c:v>
                </c:pt>
              </c:strCache>
            </c:strRef>
          </c:cat>
          <c:val>
            <c:numRef>
              <c:f>Pivots!$C$47:$C$50</c:f>
              <c:numCache>
                <c:formatCode>#,##0</c:formatCode>
                <c:ptCount val="3"/>
                <c:pt idx="0">
                  <c:v>132</c:v>
                </c:pt>
                <c:pt idx="1">
                  <c:v>63</c:v>
                </c:pt>
                <c:pt idx="2">
                  <c:v>206</c:v>
                </c:pt>
              </c:numCache>
            </c:numRef>
          </c:val>
          <c:extLst>
            <c:ext xmlns:c16="http://schemas.microsoft.com/office/drawing/2014/chart" uri="{C3380CC4-5D6E-409C-BE32-E72D297353CC}">
              <c16:uniqueId val="{00000001-9A37-490B-AFEF-621AA4979649}"/>
            </c:ext>
          </c:extLst>
        </c:ser>
        <c:dLbls>
          <c:showLegendKey val="0"/>
          <c:showVal val="0"/>
          <c:showCatName val="0"/>
          <c:showSerName val="0"/>
          <c:showPercent val="0"/>
          <c:showBubbleSize val="0"/>
        </c:dLbls>
        <c:gapWidth val="25"/>
        <c:overlap val="100"/>
        <c:axId val="964415343"/>
        <c:axId val="964410063"/>
      </c:barChart>
      <c:catAx>
        <c:axId val="9644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410063"/>
        <c:crosses val="autoZero"/>
        <c:auto val="1"/>
        <c:lblAlgn val="ctr"/>
        <c:lblOffset val="100"/>
        <c:noMultiLvlLbl val="0"/>
      </c:catAx>
      <c:valAx>
        <c:axId val="964410063"/>
        <c:scaling>
          <c:orientation val="minMax"/>
        </c:scaling>
        <c:delete val="1"/>
        <c:axPos val="l"/>
        <c:numFmt formatCode="0%" sourceLinked="1"/>
        <c:majorTickMark val="out"/>
        <c:minorTickMark val="none"/>
        <c:tickLblPos val="nextTo"/>
        <c:crossAx val="9644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[07.sample-data-excel-portfolio-project1.xlsx]Pivots!Rep satisfaction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Pivots!$B$54</c:f>
              <c:strCache>
                <c:ptCount val="1"/>
                <c:pt idx="0">
                  <c:v>Total</c:v>
                </c:pt>
              </c:strCache>
            </c:strRef>
          </c:tx>
          <c:spPr>
            <a:solidFill>
              <a:schemeClr val="accent1"/>
            </a:solidFill>
            <a:ln>
              <a:noFill/>
            </a:ln>
            <a:effectLst/>
          </c:spPr>
          <c:invertIfNegative val="0"/>
          <c:cat>
            <c:strRef>
              <c:f>Pivots!$A$55:$A$60</c:f>
              <c:strCache>
                <c:ptCount val="5"/>
                <c:pt idx="0">
                  <c:v>1</c:v>
                </c:pt>
                <c:pt idx="1">
                  <c:v>2</c:v>
                </c:pt>
                <c:pt idx="2">
                  <c:v>3</c:v>
                </c:pt>
                <c:pt idx="3">
                  <c:v>4</c:v>
                </c:pt>
                <c:pt idx="4">
                  <c:v>5</c:v>
                </c:pt>
              </c:strCache>
            </c:strRef>
          </c:cat>
          <c:val>
            <c:numRef>
              <c:f>Pivots!$B$55:$B$60</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BD98-4853-AFE2-7CB4A82C30DC}"/>
            </c:ext>
          </c:extLst>
        </c:ser>
        <c:dLbls>
          <c:showLegendKey val="0"/>
          <c:showVal val="0"/>
          <c:showCatName val="0"/>
          <c:showSerName val="0"/>
          <c:showPercent val="0"/>
          <c:showBubbleSize val="0"/>
        </c:dLbls>
        <c:gapWidth val="25"/>
        <c:overlap val="-27"/>
        <c:axId val="1916628911"/>
        <c:axId val="1916626511"/>
      </c:barChart>
      <c:catAx>
        <c:axId val="1916628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6511"/>
        <c:crosses val="autoZero"/>
        <c:auto val="1"/>
        <c:lblAlgn val="ctr"/>
        <c:lblOffset val="100"/>
        <c:noMultiLvlLbl val="0"/>
      </c:catAx>
      <c:valAx>
        <c:axId val="1916626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2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11.png"/><Relationship Id="rId12" Type="http://schemas.openxmlformats.org/officeDocument/2006/relationships/image" Target="../media/image6.sv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image" Target="../media/image8.svg"/><Relationship Id="rId11" Type="http://schemas.openxmlformats.org/officeDocument/2006/relationships/image" Target="../media/image5.png"/><Relationship Id="rId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image" Target="../media/image4.svg"/><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224366</xdr:colOff>
      <xdr:row>22</xdr:row>
      <xdr:rowOff>84665</xdr:rowOff>
    </xdr:from>
    <xdr:to>
      <xdr:col>17</xdr:col>
      <xdr:colOff>169331</xdr:colOff>
      <xdr:row>36</xdr:row>
      <xdr:rowOff>52558</xdr:rowOff>
    </xdr:to>
    <mc:AlternateContent xmlns:mc="http://schemas.openxmlformats.org/markup-compatibility/2006">
      <mc:Choice xmlns:a14="http://schemas.microsoft.com/office/drawing/2010/main" Requires="a14">
        <xdr:graphicFrame macro="">
          <xdr:nvGraphicFramePr>
            <xdr:cNvPr id="45" name="Representative">
              <a:extLst>
                <a:ext uri="{FF2B5EF4-FFF2-40B4-BE49-F238E27FC236}">
                  <a16:creationId xmlns:a16="http://schemas.microsoft.com/office/drawing/2014/main" id="{CD63B3EA-A4FC-4C08-84EE-46362CFD85E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8882453" y="4214926"/>
              <a:ext cx="1965921" cy="2596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145143</xdr:colOff>
      <xdr:row>20</xdr:row>
      <xdr:rowOff>60477</xdr:rowOff>
    </xdr:from>
    <xdr:to>
      <xdr:col>14</xdr:col>
      <xdr:colOff>205619</xdr:colOff>
      <xdr:row>38</xdr:row>
      <xdr:rowOff>133047</xdr:rowOff>
    </xdr:to>
    <xdr:sp macro="" textlink="">
      <xdr:nvSpPr>
        <xdr:cNvPr id="18" name="Rectangle 17">
          <a:extLst>
            <a:ext uri="{FF2B5EF4-FFF2-40B4-BE49-F238E27FC236}">
              <a16:creationId xmlns:a16="http://schemas.microsoft.com/office/drawing/2014/main" id="{FB57B788-41B6-689C-4A41-C20AB9FB8DF0}"/>
            </a:ext>
          </a:extLst>
        </xdr:cNvPr>
        <xdr:cNvSpPr/>
      </xdr:nvSpPr>
      <xdr:spPr>
        <a:xfrm>
          <a:off x="2709333" y="3689048"/>
          <a:ext cx="6047619" cy="3338285"/>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359425</xdr:colOff>
      <xdr:row>5</xdr:row>
      <xdr:rowOff>77474</xdr:rowOff>
    </xdr:from>
    <xdr:to>
      <xdr:col>17</xdr:col>
      <xdr:colOff>102972</xdr:colOff>
      <xdr:row>16</xdr:row>
      <xdr:rowOff>87151</xdr:rowOff>
    </xdr:to>
    <xdr:graphicFrame macro="">
      <xdr:nvGraphicFramePr>
        <xdr:cNvPr id="17" name="Chart 16">
          <a:extLst>
            <a:ext uri="{FF2B5EF4-FFF2-40B4-BE49-F238E27FC236}">
              <a16:creationId xmlns:a16="http://schemas.microsoft.com/office/drawing/2014/main" id="{8957A3B7-3FBA-4953-B7C9-D5C32A5F1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173540</xdr:colOff>
      <xdr:row>3</xdr:row>
      <xdr:rowOff>50161</xdr:rowOff>
    </xdr:from>
    <xdr:to>
      <xdr:col>4</xdr:col>
      <xdr:colOff>21363</xdr:colOff>
      <xdr:row>8</xdr:row>
      <xdr:rowOff>49850</xdr:rowOff>
    </xdr:to>
    <xdr:sp macro="" textlink="">
      <xdr:nvSpPr>
        <xdr:cNvPr id="2" name="Rectangle 1">
          <a:extLst>
            <a:ext uri="{FF2B5EF4-FFF2-40B4-BE49-F238E27FC236}">
              <a16:creationId xmlns:a16="http://schemas.microsoft.com/office/drawing/2014/main" id="{6F70A4CC-8641-AC80-728D-35774CF6945E}"/>
            </a:ext>
          </a:extLst>
        </xdr:cNvPr>
        <xdr:cNvSpPr/>
      </xdr:nvSpPr>
      <xdr:spPr>
        <a:xfrm>
          <a:off x="440240" y="598801"/>
          <a:ext cx="1493743" cy="914089"/>
        </a:xfrm>
        <a:prstGeom prst="rect">
          <a:avLst/>
        </a:prstGeom>
        <a:solidFill>
          <a:schemeClr val="accent5"/>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1,000</a:t>
          </a:r>
        </a:p>
      </xdr:txBody>
    </xdr:sp>
    <xdr:clientData/>
  </xdr:twoCellAnchor>
  <xdr:twoCellAnchor>
    <xdr:from>
      <xdr:col>2</xdr:col>
      <xdr:colOff>39903</xdr:colOff>
      <xdr:row>3</xdr:row>
      <xdr:rowOff>82632</xdr:rowOff>
    </xdr:from>
    <xdr:to>
      <xdr:col>3</xdr:col>
      <xdr:colOff>467192</xdr:colOff>
      <xdr:row>4</xdr:row>
      <xdr:rowOff>94737</xdr:rowOff>
    </xdr:to>
    <xdr:sp macro="" textlink="">
      <xdr:nvSpPr>
        <xdr:cNvPr id="3" name="TextBox 2">
          <a:extLst>
            <a:ext uri="{FF2B5EF4-FFF2-40B4-BE49-F238E27FC236}">
              <a16:creationId xmlns:a16="http://schemas.microsoft.com/office/drawing/2014/main" id="{7B6E5647-DA7B-C664-DB1D-2A5D567D5E28}"/>
            </a:ext>
          </a:extLst>
        </xdr:cNvPr>
        <xdr:cNvSpPr txBox="1"/>
      </xdr:nvSpPr>
      <xdr:spPr>
        <a:xfrm>
          <a:off x="608379" y="626918"/>
          <a:ext cx="1092527" cy="19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          </a:t>
          </a:r>
          <a:r>
            <a:rPr lang="en-IN" sz="1100" b="1">
              <a:ln>
                <a:noFill/>
              </a:ln>
              <a:solidFill>
                <a:schemeClr val="bg1"/>
              </a:solidFill>
            </a:rPr>
            <a:t>Calls</a:t>
          </a:r>
        </a:p>
        <a:p>
          <a:endParaRPr lang="en-IN" sz="1100">
            <a:ln>
              <a:noFill/>
            </a:ln>
          </a:endParaRPr>
        </a:p>
      </xdr:txBody>
    </xdr:sp>
    <xdr:clientData/>
  </xdr:twoCellAnchor>
  <xdr:twoCellAnchor editAs="oneCell">
    <xdr:from>
      <xdr:col>2</xdr:col>
      <xdr:colOff>114747</xdr:colOff>
      <xdr:row>3</xdr:row>
      <xdr:rowOff>157237</xdr:rowOff>
    </xdr:from>
    <xdr:to>
      <xdr:col>2</xdr:col>
      <xdr:colOff>320355</xdr:colOff>
      <xdr:row>4</xdr:row>
      <xdr:rowOff>172699</xdr:rowOff>
    </xdr:to>
    <xdr:pic>
      <xdr:nvPicPr>
        <xdr:cNvPr id="4" name="Graphic 3" descr="Receiver with solid fill">
          <a:extLst>
            <a:ext uri="{FF2B5EF4-FFF2-40B4-BE49-F238E27FC236}">
              <a16:creationId xmlns:a16="http://schemas.microsoft.com/office/drawing/2014/main" id="{D5863919-31EE-4DA9-95F4-B47F9307A2A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3223" y="701523"/>
          <a:ext cx="205608" cy="196890"/>
        </a:xfrm>
        <a:prstGeom prst="rect">
          <a:avLst/>
        </a:prstGeom>
      </xdr:spPr>
    </xdr:pic>
    <xdr:clientData/>
  </xdr:twoCellAnchor>
  <xdr:oneCellAnchor>
    <xdr:from>
      <xdr:col>2</xdr:col>
      <xdr:colOff>384560</xdr:colOff>
      <xdr:row>6</xdr:row>
      <xdr:rowOff>156673</xdr:rowOff>
    </xdr:from>
    <xdr:ext cx="184731" cy="264560"/>
    <xdr:sp macro="" textlink="">
      <xdr:nvSpPr>
        <xdr:cNvPr id="5" name="TextBox 4">
          <a:extLst>
            <a:ext uri="{FF2B5EF4-FFF2-40B4-BE49-F238E27FC236}">
              <a16:creationId xmlns:a16="http://schemas.microsoft.com/office/drawing/2014/main" id="{C73A4225-E8E1-6578-810D-7621D3964BE8}"/>
            </a:ext>
          </a:extLst>
        </xdr:cNvPr>
        <xdr:cNvSpPr txBox="1"/>
      </xdr:nvSpPr>
      <xdr:spPr>
        <a:xfrm>
          <a:off x="954280" y="12676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407420</xdr:colOff>
      <xdr:row>6</xdr:row>
      <xdr:rowOff>123558</xdr:rowOff>
    </xdr:from>
    <xdr:to>
      <xdr:col>3</xdr:col>
      <xdr:colOff>613944</xdr:colOff>
      <xdr:row>7</xdr:row>
      <xdr:rowOff>144922</xdr:rowOff>
    </xdr:to>
    <xdr:sp macro="" textlink="Pivots!A12">
      <xdr:nvSpPr>
        <xdr:cNvPr id="6" name="TextBox 5">
          <a:extLst>
            <a:ext uri="{FF2B5EF4-FFF2-40B4-BE49-F238E27FC236}">
              <a16:creationId xmlns:a16="http://schemas.microsoft.com/office/drawing/2014/main" id="{D616B7C1-E1AF-1E18-4892-F9AE3D2AD0DB}"/>
            </a:ext>
          </a:extLst>
        </xdr:cNvPr>
        <xdr:cNvSpPr txBox="1"/>
      </xdr:nvSpPr>
      <xdr:spPr>
        <a:xfrm>
          <a:off x="978920" y="1220838"/>
          <a:ext cx="877084" cy="204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9E20CF-24B3-40B0-B9F1-CE90F8FF5E94}" type="TxLink">
            <a:rPr lang="en-US" sz="1100" b="1" i="0" u="none" strike="noStrike">
              <a:ln>
                <a:noFill/>
              </a:ln>
              <a:solidFill>
                <a:schemeClr val="tx1"/>
              </a:solidFill>
              <a:latin typeface="Aptos"/>
            </a:rPr>
            <a:pPr/>
            <a:t>218</a:t>
          </a:fld>
          <a:endParaRPr lang="en-IN" sz="1100" b="1">
            <a:ln>
              <a:noFill/>
            </a:ln>
            <a:solidFill>
              <a:schemeClr val="tx1"/>
            </a:solidFill>
          </a:endParaRPr>
        </a:p>
      </xdr:txBody>
    </xdr:sp>
    <xdr:clientData/>
  </xdr:twoCellAnchor>
  <xdr:twoCellAnchor>
    <xdr:from>
      <xdr:col>1</xdr:col>
      <xdr:colOff>168423</xdr:colOff>
      <xdr:row>10</xdr:row>
      <xdr:rowOff>121065</xdr:rowOff>
    </xdr:from>
    <xdr:to>
      <xdr:col>4</xdr:col>
      <xdr:colOff>16246</xdr:colOff>
      <xdr:row>15</xdr:row>
      <xdr:rowOff>120754</xdr:rowOff>
    </xdr:to>
    <xdr:sp macro="" textlink="Pivots!C4">
      <xdr:nvSpPr>
        <xdr:cNvPr id="7" name="Rectangle 6">
          <a:extLst>
            <a:ext uri="{FF2B5EF4-FFF2-40B4-BE49-F238E27FC236}">
              <a16:creationId xmlns:a16="http://schemas.microsoft.com/office/drawing/2014/main" id="{F1A4270E-016A-471E-89F7-46D2A0DD2390}"/>
            </a:ext>
          </a:extLst>
        </xdr:cNvPr>
        <xdr:cNvSpPr/>
      </xdr:nvSpPr>
      <xdr:spPr>
        <a:xfrm>
          <a:off x="434518" y="1935351"/>
          <a:ext cx="1480680" cy="906832"/>
        </a:xfrm>
        <a:prstGeom prst="rect">
          <a:avLst/>
        </a:prstGeom>
        <a:solidFill>
          <a:schemeClr val="accent5"/>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FD9E20-3DF3-4AFE-B194-9150806C717E}" type="TxLink">
            <a:rPr lang="en-US" sz="1100" b="0" i="0" u="none" strike="noStrike">
              <a:solidFill>
                <a:srgbClr val="000000"/>
              </a:solidFill>
              <a:latin typeface="Aptos"/>
            </a:rPr>
            <a:pPr algn="ctr"/>
            <a:t>89850</a:t>
          </a:fld>
          <a:endParaRPr lang="en-US" sz="2800" b="1">
            <a:solidFill>
              <a:schemeClr val="bg1"/>
            </a:solidFill>
          </a:endParaRPr>
        </a:p>
      </xdr:txBody>
    </xdr:sp>
    <xdr:clientData/>
  </xdr:twoCellAnchor>
  <xdr:twoCellAnchor>
    <xdr:from>
      <xdr:col>1</xdr:col>
      <xdr:colOff>260872</xdr:colOff>
      <xdr:row>10</xdr:row>
      <xdr:rowOff>134998</xdr:rowOff>
    </xdr:from>
    <xdr:to>
      <xdr:col>3</xdr:col>
      <xdr:colOff>381936</xdr:colOff>
      <xdr:row>11</xdr:row>
      <xdr:rowOff>147103</xdr:rowOff>
    </xdr:to>
    <xdr:sp macro="" textlink="">
      <xdr:nvSpPr>
        <xdr:cNvPr id="8" name="TextBox 7">
          <a:extLst>
            <a:ext uri="{FF2B5EF4-FFF2-40B4-BE49-F238E27FC236}">
              <a16:creationId xmlns:a16="http://schemas.microsoft.com/office/drawing/2014/main" id="{221FDDC5-FD43-44E3-8A00-57D240306E0B}"/>
            </a:ext>
          </a:extLst>
        </xdr:cNvPr>
        <xdr:cNvSpPr txBox="1"/>
      </xdr:nvSpPr>
      <xdr:spPr>
        <a:xfrm>
          <a:off x="524367" y="1986587"/>
          <a:ext cx="1096709" cy="19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          </a:t>
          </a:r>
          <a:r>
            <a:rPr lang="en-IN" sz="1100" b="1">
              <a:ln>
                <a:noFill/>
              </a:ln>
              <a:solidFill>
                <a:schemeClr val="bg1"/>
              </a:solidFill>
            </a:rPr>
            <a:t>Duration</a:t>
          </a:r>
        </a:p>
        <a:p>
          <a:endParaRPr lang="en-IN" sz="1100">
            <a:ln>
              <a:noFill/>
            </a:ln>
          </a:endParaRPr>
        </a:p>
      </xdr:txBody>
    </xdr:sp>
    <xdr:clientData/>
  </xdr:twoCellAnchor>
  <xdr:oneCellAnchor>
    <xdr:from>
      <xdr:col>2</xdr:col>
      <xdr:colOff>211020</xdr:colOff>
      <xdr:row>14</xdr:row>
      <xdr:rowOff>106512</xdr:rowOff>
    </xdr:from>
    <xdr:ext cx="184731" cy="264560"/>
    <xdr:sp macro="" textlink="">
      <xdr:nvSpPr>
        <xdr:cNvPr id="10" name="TextBox 9">
          <a:extLst>
            <a:ext uri="{FF2B5EF4-FFF2-40B4-BE49-F238E27FC236}">
              <a16:creationId xmlns:a16="http://schemas.microsoft.com/office/drawing/2014/main" id="{535EB337-71CF-44D0-AC88-5192356A2165}"/>
            </a:ext>
          </a:extLst>
        </xdr:cNvPr>
        <xdr:cNvSpPr txBox="1"/>
      </xdr:nvSpPr>
      <xdr:spPr>
        <a:xfrm>
          <a:off x="780740" y="26987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317700</xdr:colOff>
      <xdr:row>14</xdr:row>
      <xdr:rowOff>12437</xdr:rowOff>
    </xdr:from>
    <xdr:to>
      <xdr:col>3</xdr:col>
      <xdr:colOff>524224</xdr:colOff>
      <xdr:row>15</xdr:row>
      <xdr:rowOff>33801</xdr:rowOff>
    </xdr:to>
    <xdr:sp macro="" textlink="Pivots!C12">
      <xdr:nvSpPr>
        <xdr:cNvPr id="11" name="TextBox 10">
          <a:extLst>
            <a:ext uri="{FF2B5EF4-FFF2-40B4-BE49-F238E27FC236}">
              <a16:creationId xmlns:a16="http://schemas.microsoft.com/office/drawing/2014/main" id="{EAD0E3A8-D8E2-4F33-8C9C-1967B585EF19}"/>
            </a:ext>
          </a:extLst>
        </xdr:cNvPr>
        <xdr:cNvSpPr txBox="1"/>
      </xdr:nvSpPr>
      <xdr:spPr>
        <a:xfrm>
          <a:off x="889200" y="2572757"/>
          <a:ext cx="877084" cy="204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319DFE-44E9-406C-9A98-B49AFB2F9289}" type="TxLink">
            <a:rPr lang="en-US" sz="1100" b="1" i="0" u="none" strike="noStrike">
              <a:ln>
                <a:noFill/>
              </a:ln>
              <a:solidFill>
                <a:schemeClr val="tx1"/>
              </a:solidFill>
              <a:latin typeface="Aptos"/>
            </a:rPr>
            <a:pPr/>
            <a:t>19300</a:t>
          </a:fld>
          <a:endParaRPr lang="en-IN" sz="1100" b="1">
            <a:ln>
              <a:noFill/>
            </a:ln>
            <a:solidFill>
              <a:schemeClr val="tx1"/>
            </a:solidFill>
          </a:endParaRPr>
        </a:p>
      </xdr:txBody>
    </xdr:sp>
    <xdr:clientData/>
  </xdr:twoCellAnchor>
  <xdr:twoCellAnchor>
    <xdr:from>
      <xdr:col>1</xdr:col>
      <xdr:colOff>150534</xdr:colOff>
      <xdr:row>18</xdr:row>
      <xdr:rowOff>68580</xdr:rowOff>
    </xdr:from>
    <xdr:to>
      <xdr:col>3</xdr:col>
      <xdr:colOff>672009</xdr:colOff>
      <xdr:row>23</xdr:row>
      <xdr:rowOff>70548</xdr:rowOff>
    </xdr:to>
    <xdr:sp macro="" textlink="Pivots!D4">
      <xdr:nvSpPr>
        <xdr:cNvPr id="12" name="Rectangle 11">
          <a:extLst>
            <a:ext uri="{FF2B5EF4-FFF2-40B4-BE49-F238E27FC236}">
              <a16:creationId xmlns:a16="http://schemas.microsoft.com/office/drawing/2014/main" id="{61CD7954-EBCA-4AA7-81BC-42D83B4B305C}"/>
            </a:ext>
          </a:extLst>
        </xdr:cNvPr>
        <xdr:cNvSpPr/>
      </xdr:nvSpPr>
      <xdr:spPr>
        <a:xfrm>
          <a:off x="415577" y="3447884"/>
          <a:ext cx="1504345" cy="940664"/>
        </a:xfrm>
        <a:prstGeom prst="rect">
          <a:avLst/>
        </a:prstGeom>
        <a:solidFill>
          <a:schemeClr val="accent5"/>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8C9C0CC-7035-49EC-A7FF-95B6716A4E10}" type="TxLink">
            <a:rPr lang="en-US" sz="1100" b="0" i="0" u="none" strike="noStrike">
              <a:solidFill>
                <a:srgbClr val="000000"/>
              </a:solidFill>
              <a:latin typeface="Aptos"/>
              <a:ea typeface="+mn-ea"/>
              <a:cs typeface="+mn-cs"/>
            </a:rPr>
            <a:pPr marL="0" indent="0" algn="ctr"/>
            <a:t>3.9</a:t>
          </a:fld>
          <a:endParaRPr lang="en-US" sz="2800" b="0" i="0" u="none" strike="noStrike">
            <a:solidFill>
              <a:schemeClr val="bg1"/>
            </a:solidFill>
            <a:latin typeface="Aptos"/>
            <a:ea typeface="+mn-ea"/>
            <a:cs typeface="+mn-cs"/>
          </a:endParaRPr>
        </a:p>
      </xdr:txBody>
    </xdr:sp>
    <xdr:clientData/>
  </xdr:twoCellAnchor>
  <xdr:twoCellAnchor>
    <xdr:from>
      <xdr:col>2</xdr:col>
      <xdr:colOff>89956</xdr:colOff>
      <xdr:row>18</xdr:row>
      <xdr:rowOff>92269</xdr:rowOff>
    </xdr:from>
    <xdr:to>
      <xdr:col>3</xdr:col>
      <xdr:colOff>517245</xdr:colOff>
      <xdr:row>19</xdr:row>
      <xdr:rowOff>104374</xdr:rowOff>
    </xdr:to>
    <xdr:sp macro="" textlink="">
      <xdr:nvSpPr>
        <xdr:cNvPr id="13" name="TextBox 12">
          <a:extLst>
            <a:ext uri="{FF2B5EF4-FFF2-40B4-BE49-F238E27FC236}">
              <a16:creationId xmlns:a16="http://schemas.microsoft.com/office/drawing/2014/main" id="{641BFBCE-0E39-4A86-8884-D08588D172BC}"/>
            </a:ext>
          </a:extLst>
        </xdr:cNvPr>
        <xdr:cNvSpPr txBox="1"/>
      </xdr:nvSpPr>
      <xdr:spPr>
        <a:xfrm>
          <a:off x="659676" y="3425129"/>
          <a:ext cx="1096709" cy="19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    </a:t>
          </a:r>
          <a:r>
            <a:rPr lang="en-IN" sz="1100" b="1">
              <a:ln>
                <a:noFill/>
              </a:ln>
              <a:solidFill>
                <a:schemeClr val="bg1"/>
              </a:solidFill>
            </a:rPr>
            <a:t>Avg</a:t>
          </a:r>
          <a:r>
            <a:rPr lang="en-IN" sz="1100">
              <a:ln>
                <a:noFill/>
              </a:ln>
              <a:solidFill>
                <a:schemeClr val="bg1"/>
              </a:solidFill>
            </a:rPr>
            <a:t> </a:t>
          </a:r>
          <a:r>
            <a:rPr lang="en-IN" sz="1100" b="1">
              <a:ln>
                <a:noFill/>
              </a:ln>
              <a:solidFill>
                <a:schemeClr val="bg1"/>
              </a:solidFill>
            </a:rPr>
            <a:t>Rating</a:t>
          </a:r>
        </a:p>
        <a:p>
          <a:endParaRPr lang="en-IN" sz="1100">
            <a:ln>
              <a:noFill/>
            </a:ln>
          </a:endParaRPr>
        </a:p>
      </xdr:txBody>
    </xdr:sp>
    <xdr:clientData/>
  </xdr:twoCellAnchor>
  <xdr:oneCellAnchor>
    <xdr:from>
      <xdr:col>2</xdr:col>
      <xdr:colOff>517245</xdr:colOff>
      <xdr:row>23</xdr:row>
      <xdr:rowOff>106512</xdr:rowOff>
    </xdr:from>
    <xdr:ext cx="184731" cy="264560"/>
    <xdr:sp macro="" textlink="">
      <xdr:nvSpPr>
        <xdr:cNvPr id="15" name="TextBox 14">
          <a:extLst>
            <a:ext uri="{FF2B5EF4-FFF2-40B4-BE49-F238E27FC236}">
              <a16:creationId xmlns:a16="http://schemas.microsoft.com/office/drawing/2014/main" id="{DD13DB76-07C8-44A1-8C32-09612B9FA7B2}"/>
            </a:ext>
          </a:extLst>
        </xdr:cNvPr>
        <xdr:cNvSpPr txBox="1"/>
      </xdr:nvSpPr>
      <xdr:spPr>
        <a:xfrm>
          <a:off x="1086965" y="4365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405624</xdr:colOff>
      <xdr:row>21</xdr:row>
      <xdr:rowOff>116624</xdr:rowOff>
    </xdr:from>
    <xdr:to>
      <xdr:col>3</xdr:col>
      <xdr:colOff>612148</xdr:colOff>
      <xdr:row>22</xdr:row>
      <xdr:rowOff>137988</xdr:rowOff>
    </xdr:to>
    <xdr:sp macro="" textlink="Pivots!D12">
      <xdr:nvSpPr>
        <xdr:cNvPr id="16" name="TextBox 15">
          <a:extLst>
            <a:ext uri="{FF2B5EF4-FFF2-40B4-BE49-F238E27FC236}">
              <a16:creationId xmlns:a16="http://schemas.microsoft.com/office/drawing/2014/main" id="{64126ADC-D7D6-4CF4-938E-61643D65F01A}"/>
            </a:ext>
          </a:extLst>
        </xdr:cNvPr>
        <xdr:cNvSpPr txBox="1"/>
      </xdr:nvSpPr>
      <xdr:spPr>
        <a:xfrm>
          <a:off x="979885" y="4059146"/>
          <a:ext cx="880176" cy="20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F9AA9-A7DB-4D13-B044-70F249FF7857}" type="TxLink">
            <a:rPr lang="en-US" sz="1100" b="1" i="0" u="none" strike="noStrike">
              <a:ln>
                <a:noFill/>
              </a:ln>
              <a:solidFill>
                <a:srgbClr val="000000"/>
              </a:solidFill>
              <a:latin typeface="Aptos"/>
            </a:rPr>
            <a:pPr/>
            <a:t>3.9</a:t>
          </a:fld>
          <a:endParaRPr lang="en-IN" sz="1100" b="1">
            <a:ln>
              <a:noFill/>
            </a:ln>
            <a:solidFill>
              <a:schemeClr val="bg1"/>
            </a:solidFill>
          </a:endParaRPr>
        </a:p>
      </xdr:txBody>
    </xdr:sp>
    <xdr:clientData/>
  </xdr:twoCellAnchor>
  <xdr:oneCellAnchor>
    <xdr:from>
      <xdr:col>0</xdr:col>
      <xdr:colOff>0</xdr:colOff>
      <xdr:row>34</xdr:row>
      <xdr:rowOff>106511</xdr:rowOff>
    </xdr:from>
    <xdr:ext cx="184731" cy="264560"/>
    <xdr:sp macro="" textlink="">
      <xdr:nvSpPr>
        <xdr:cNvPr id="20" name="TextBox 19">
          <a:extLst>
            <a:ext uri="{FF2B5EF4-FFF2-40B4-BE49-F238E27FC236}">
              <a16:creationId xmlns:a16="http://schemas.microsoft.com/office/drawing/2014/main" id="{51493DD9-C706-4BF2-B5EA-01F775569667}"/>
            </a:ext>
          </a:extLst>
        </xdr:cNvPr>
        <xdr:cNvSpPr txBox="1"/>
      </xdr:nvSpPr>
      <xdr:spPr>
        <a:xfrm>
          <a:off x="1086965" y="64019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34</xdr:row>
      <xdr:rowOff>35296</xdr:rowOff>
    </xdr:from>
    <xdr:to>
      <xdr:col>0</xdr:col>
      <xdr:colOff>54348</xdr:colOff>
      <xdr:row>35</xdr:row>
      <xdr:rowOff>56660</xdr:rowOff>
    </xdr:to>
    <xdr:sp macro="" textlink="Pivots!A12">
      <xdr:nvSpPr>
        <xdr:cNvPr id="21" name="TextBox 20">
          <a:extLst>
            <a:ext uri="{FF2B5EF4-FFF2-40B4-BE49-F238E27FC236}">
              <a16:creationId xmlns:a16="http://schemas.microsoft.com/office/drawing/2014/main" id="{9DA8D6B7-A547-4C30-ACF9-5B3221350346}"/>
            </a:ext>
          </a:extLst>
        </xdr:cNvPr>
        <xdr:cNvSpPr txBox="1"/>
      </xdr:nvSpPr>
      <xdr:spPr>
        <a:xfrm>
          <a:off x="1086965" y="6330698"/>
          <a:ext cx="875944" cy="20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9E20CF-24B3-40B0-B9F1-CE90F8FF5E94}" type="TxLink">
            <a:rPr lang="en-US" sz="1100" b="1" i="0" u="none" strike="noStrike">
              <a:ln>
                <a:noFill/>
              </a:ln>
              <a:solidFill>
                <a:schemeClr val="bg1"/>
              </a:solidFill>
              <a:latin typeface="Aptos"/>
            </a:rPr>
            <a:pPr/>
            <a:t>218</a:t>
          </a:fld>
          <a:endParaRPr lang="en-IN" sz="1100" b="1">
            <a:ln>
              <a:noFill/>
            </a:ln>
            <a:solidFill>
              <a:schemeClr val="bg1"/>
            </a:solidFill>
          </a:endParaRPr>
        </a:p>
      </xdr:txBody>
    </xdr:sp>
    <xdr:clientData/>
  </xdr:twoCellAnchor>
  <xdr:oneCellAnchor>
    <xdr:from>
      <xdr:col>0</xdr:col>
      <xdr:colOff>0</xdr:colOff>
      <xdr:row>45</xdr:row>
      <xdr:rowOff>106511</xdr:rowOff>
    </xdr:from>
    <xdr:ext cx="184731" cy="264560"/>
    <xdr:sp macro="" textlink="">
      <xdr:nvSpPr>
        <xdr:cNvPr id="25" name="TextBox 24">
          <a:extLst>
            <a:ext uri="{FF2B5EF4-FFF2-40B4-BE49-F238E27FC236}">
              <a16:creationId xmlns:a16="http://schemas.microsoft.com/office/drawing/2014/main" id="{D28E73D9-B2BA-42FD-AD64-9C4F92FF711B}"/>
            </a:ext>
          </a:extLst>
        </xdr:cNvPr>
        <xdr:cNvSpPr txBox="1"/>
      </xdr:nvSpPr>
      <xdr:spPr>
        <a:xfrm>
          <a:off x="1086965" y="84386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xdr:col>
      <xdr:colOff>277738</xdr:colOff>
      <xdr:row>10</xdr:row>
      <xdr:rowOff>183344</xdr:rowOff>
    </xdr:from>
    <xdr:to>
      <xdr:col>2</xdr:col>
      <xdr:colOff>231612</xdr:colOff>
      <xdr:row>12</xdr:row>
      <xdr:rowOff>69970</xdr:rowOff>
    </xdr:to>
    <xdr:pic>
      <xdr:nvPicPr>
        <xdr:cNvPr id="29" name="Graphic 28" descr="Hourglass Finished with solid fill">
          <a:extLst>
            <a:ext uri="{FF2B5EF4-FFF2-40B4-BE49-F238E27FC236}">
              <a16:creationId xmlns:a16="http://schemas.microsoft.com/office/drawing/2014/main" id="{45F9CA0A-A9D9-441F-B1EF-156A515CFE6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1233" y="2034933"/>
          <a:ext cx="260099" cy="256944"/>
        </a:xfrm>
        <a:prstGeom prst="rect">
          <a:avLst/>
        </a:prstGeom>
      </xdr:spPr>
    </xdr:pic>
    <xdr:clientData/>
  </xdr:twoCellAnchor>
  <xdr:twoCellAnchor editAs="oneCell">
    <xdr:from>
      <xdr:col>1</xdr:col>
      <xdr:colOff>284860</xdr:colOff>
      <xdr:row>18</xdr:row>
      <xdr:rowOff>84094</xdr:rowOff>
    </xdr:from>
    <xdr:to>
      <xdr:col>2</xdr:col>
      <xdr:colOff>237941</xdr:colOff>
      <xdr:row>19</xdr:row>
      <xdr:rowOff>151978</xdr:rowOff>
    </xdr:to>
    <xdr:pic>
      <xdr:nvPicPr>
        <xdr:cNvPr id="30" name="Graphic 29" descr="Rating Star with solid fill">
          <a:extLst>
            <a:ext uri="{FF2B5EF4-FFF2-40B4-BE49-F238E27FC236}">
              <a16:creationId xmlns:a16="http://schemas.microsoft.com/office/drawing/2014/main" id="{CD2F68E3-CAA7-4C97-A228-98C7F0FB64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48355" y="3416954"/>
          <a:ext cx="259306" cy="253043"/>
        </a:xfrm>
        <a:prstGeom prst="rect">
          <a:avLst/>
        </a:prstGeom>
      </xdr:spPr>
    </xdr:pic>
    <xdr:clientData/>
  </xdr:twoCellAnchor>
  <xdr:twoCellAnchor>
    <xdr:from>
      <xdr:col>1</xdr:col>
      <xdr:colOff>168413</xdr:colOff>
      <xdr:row>26</xdr:row>
      <xdr:rowOff>0</xdr:rowOff>
    </xdr:from>
    <xdr:to>
      <xdr:col>4</xdr:col>
      <xdr:colOff>16236</xdr:colOff>
      <xdr:row>30</xdr:row>
      <xdr:rowOff>182569</xdr:rowOff>
    </xdr:to>
    <xdr:sp macro="" textlink="Pivots!B4">
      <xdr:nvSpPr>
        <xdr:cNvPr id="33" name="Rectangle 32">
          <a:extLst>
            <a:ext uri="{FF2B5EF4-FFF2-40B4-BE49-F238E27FC236}">
              <a16:creationId xmlns:a16="http://schemas.microsoft.com/office/drawing/2014/main" id="{2629E180-5249-4295-A54D-02005BD8AB61}"/>
            </a:ext>
          </a:extLst>
        </xdr:cNvPr>
        <xdr:cNvSpPr/>
      </xdr:nvSpPr>
      <xdr:spPr>
        <a:xfrm>
          <a:off x="433456" y="4881217"/>
          <a:ext cx="1504345" cy="933526"/>
        </a:xfrm>
        <a:prstGeom prst="rect">
          <a:avLst/>
        </a:prstGeom>
        <a:solidFill>
          <a:schemeClr val="accent5"/>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59E182-8CD6-4046-BD1F-C186B8ECCF3C}" type="TxLink">
            <a:rPr lang="en-US" sz="1100" b="0" i="0" u="none" strike="noStrike">
              <a:solidFill>
                <a:srgbClr val="000000"/>
              </a:solidFill>
              <a:latin typeface="Aptos"/>
            </a:rPr>
            <a:pPr algn="ctr"/>
            <a:t>$96,623</a:t>
          </a:fld>
          <a:endParaRPr lang="en-US" sz="2800" b="1">
            <a:solidFill>
              <a:schemeClr val="bg1"/>
            </a:solidFill>
          </a:endParaRPr>
        </a:p>
      </xdr:txBody>
    </xdr:sp>
    <xdr:clientData/>
  </xdr:twoCellAnchor>
  <xdr:twoCellAnchor>
    <xdr:from>
      <xdr:col>2</xdr:col>
      <xdr:colOff>12474</xdr:colOff>
      <xdr:row>26</xdr:row>
      <xdr:rowOff>79521</xdr:rowOff>
    </xdr:from>
    <xdr:to>
      <xdr:col>3</xdr:col>
      <xdr:colOff>439763</xdr:colOff>
      <xdr:row>27</xdr:row>
      <xdr:rowOff>91626</xdr:rowOff>
    </xdr:to>
    <xdr:sp macro="" textlink="">
      <xdr:nvSpPr>
        <xdr:cNvPr id="34" name="TextBox 33">
          <a:extLst>
            <a:ext uri="{FF2B5EF4-FFF2-40B4-BE49-F238E27FC236}">
              <a16:creationId xmlns:a16="http://schemas.microsoft.com/office/drawing/2014/main" id="{CC877E76-1B67-43A0-B77B-EFB3C3903B16}"/>
            </a:ext>
          </a:extLst>
        </xdr:cNvPr>
        <xdr:cNvSpPr txBox="1"/>
      </xdr:nvSpPr>
      <xdr:spPr>
        <a:xfrm>
          <a:off x="583974" y="4834401"/>
          <a:ext cx="1097849" cy="194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rPr>
            <a:t>          </a:t>
          </a:r>
          <a:r>
            <a:rPr lang="en-IN" sz="1100" b="1">
              <a:ln>
                <a:noFill/>
              </a:ln>
              <a:solidFill>
                <a:schemeClr val="bg1"/>
              </a:solidFill>
            </a:rPr>
            <a:t>Amount</a:t>
          </a:r>
        </a:p>
        <a:p>
          <a:endParaRPr lang="en-IN" sz="2400">
            <a:ln>
              <a:noFill/>
            </a:ln>
          </a:endParaRPr>
        </a:p>
      </xdr:txBody>
    </xdr:sp>
    <xdr:clientData/>
  </xdr:twoCellAnchor>
  <xdr:oneCellAnchor>
    <xdr:from>
      <xdr:col>2</xdr:col>
      <xdr:colOff>515820</xdr:colOff>
      <xdr:row>29</xdr:row>
      <xdr:rowOff>106512</xdr:rowOff>
    </xdr:from>
    <xdr:ext cx="184731" cy="264560"/>
    <xdr:sp macro="" textlink="">
      <xdr:nvSpPr>
        <xdr:cNvPr id="36" name="TextBox 35">
          <a:extLst>
            <a:ext uri="{FF2B5EF4-FFF2-40B4-BE49-F238E27FC236}">
              <a16:creationId xmlns:a16="http://schemas.microsoft.com/office/drawing/2014/main" id="{3DB7451F-12C9-4FDB-B5E2-9CDD7C2D4543}"/>
            </a:ext>
          </a:extLst>
        </xdr:cNvPr>
        <xdr:cNvSpPr txBox="1"/>
      </xdr:nvSpPr>
      <xdr:spPr>
        <a:xfrm>
          <a:off x="1087320" y="54100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272753</xdr:colOff>
      <xdr:row>29</xdr:row>
      <xdr:rowOff>84439</xdr:rowOff>
    </xdr:from>
    <xdr:to>
      <xdr:col>3</xdr:col>
      <xdr:colOff>479277</xdr:colOff>
      <xdr:row>30</xdr:row>
      <xdr:rowOff>117722</xdr:rowOff>
    </xdr:to>
    <xdr:sp macro="" textlink="Pivots!B12">
      <xdr:nvSpPr>
        <xdr:cNvPr id="37" name="TextBox 36">
          <a:extLst>
            <a:ext uri="{FF2B5EF4-FFF2-40B4-BE49-F238E27FC236}">
              <a16:creationId xmlns:a16="http://schemas.microsoft.com/office/drawing/2014/main" id="{6EEDEF9A-ECEC-4183-B056-783FB2086ADC}"/>
            </a:ext>
          </a:extLst>
        </xdr:cNvPr>
        <xdr:cNvSpPr txBox="1"/>
      </xdr:nvSpPr>
      <xdr:spPr>
        <a:xfrm>
          <a:off x="847014" y="5528874"/>
          <a:ext cx="880176" cy="221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ED8629-9493-469E-8B2A-12DB45A46B18}" type="TxLink">
            <a:rPr lang="en-US" sz="1100" b="1" i="0" u="none" strike="noStrike">
              <a:ln>
                <a:noFill/>
              </a:ln>
              <a:solidFill>
                <a:srgbClr val="000000"/>
              </a:solidFill>
              <a:latin typeface="Aptos"/>
            </a:rPr>
            <a:pPr/>
            <a:t>$20,581</a:t>
          </a:fld>
          <a:endParaRPr lang="en-IN" sz="1100" b="1">
            <a:ln>
              <a:noFill/>
            </a:ln>
            <a:solidFill>
              <a:schemeClr val="bg1"/>
            </a:solidFill>
          </a:endParaRPr>
        </a:p>
      </xdr:txBody>
    </xdr:sp>
    <xdr:clientData/>
  </xdr:twoCellAnchor>
  <xdr:twoCellAnchor>
    <xdr:from>
      <xdr:col>1</xdr:col>
      <xdr:colOff>151125</xdr:colOff>
      <xdr:row>33</xdr:row>
      <xdr:rowOff>176695</xdr:rowOff>
    </xdr:from>
    <xdr:to>
      <xdr:col>3</xdr:col>
      <xdr:colOff>662608</xdr:colOff>
      <xdr:row>38</xdr:row>
      <xdr:rowOff>154608</xdr:rowOff>
    </xdr:to>
    <xdr:sp macro="" textlink="Pivots!E4">
      <xdr:nvSpPr>
        <xdr:cNvPr id="38" name="Rectangle 37">
          <a:extLst>
            <a:ext uri="{FF2B5EF4-FFF2-40B4-BE49-F238E27FC236}">
              <a16:creationId xmlns:a16="http://schemas.microsoft.com/office/drawing/2014/main" id="{8FF9DB6E-A188-4165-86AE-540E49F6FFE4}"/>
            </a:ext>
          </a:extLst>
        </xdr:cNvPr>
        <xdr:cNvSpPr/>
      </xdr:nvSpPr>
      <xdr:spPr>
        <a:xfrm>
          <a:off x="416168" y="6372086"/>
          <a:ext cx="1494353" cy="916609"/>
        </a:xfrm>
        <a:prstGeom prst="rect">
          <a:avLst/>
        </a:prstGeom>
        <a:solidFill>
          <a:schemeClr val="accent5"/>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CABEDC-C770-4C09-B071-1BF7CD1BDF69}" type="TxLink">
            <a:rPr lang="en-US" sz="1100" b="0" i="0" u="none" strike="noStrike">
              <a:solidFill>
                <a:srgbClr val="000000"/>
              </a:solidFill>
              <a:latin typeface="Aptos"/>
            </a:rPr>
            <a:pPr algn="ctr"/>
            <a:t>307</a:t>
          </a:fld>
          <a:endParaRPr lang="en-US" sz="2800" b="1">
            <a:solidFill>
              <a:schemeClr val="bg1"/>
            </a:solidFill>
          </a:endParaRPr>
        </a:p>
      </xdr:txBody>
    </xdr:sp>
    <xdr:clientData/>
  </xdr:twoCellAnchor>
  <xdr:twoCellAnchor>
    <xdr:from>
      <xdr:col>2</xdr:col>
      <xdr:colOff>99386</xdr:colOff>
      <xdr:row>34</xdr:row>
      <xdr:rowOff>8732</xdr:rowOff>
    </xdr:from>
    <xdr:to>
      <xdr:col>3</xdr:col>
      <xdr:colOff>526675</xdr:colOff>
      <xdr:row>35</xdr:row>
      <xdr:rowOff>20837</xdr:rowOff>
    </xdr:to>
    <xdr:sp macro="" textlink="">
      <xdr:nvSpPr>
        <xdr:cNvPr id="39" name="TextBox 38">
          <a:extLst>
            <a:ext uri="{FF2B5EF4-FFF2-40B4-BE49-F238E27FC236}">
              <a16:creationId xmlns:a16="http://schemas.microsoft.com/office/drawing/2014/main" id="{1EBAC73B-0B3D-421A-9E08-68CCBA41E395}"/>
            </a:ext>
          </a:extLst>
        </xdr:cNvPr>
        <xdr:cNvSpPr txBox="1"/>
      </xdr:nvSpPr>
      <xdr:spPr>
        <a:xfrm>
          <a:off x="673647" y="6391862"/>
          <a:ext cx="1100941" cy="199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bg1"/>
              </a:solidFill>
            </a:rPr>
            <a:t>Happy</a:t>
          </a:r>
          <a:r>
            <a:rPr lang="en-IN" sz="1100" baseline="0">
              <a:ln>
                <a:noFill/>
              </a:ln>
              <a:solidFill>
                <a:schemeClr val="bg1"/>
              </a:solidFill>
            </a:rPr>
            <a:t> </a:t>
          </a:r>
          <a:r>
            <a:rPr lang="en-IN" sz="1100" b="1" baseline="0">
              <a:ln>
                <a:noFill/>
              </a:ln>
              <a:solidFill>
                <a:schemeClr val="bg1"/>
              </a:solidFill>
            </a:rPr>
            <a:t>Callers</a:t>
          </a:r>
          <a:endParaRPr lang="en-IN" sz="1100" b="1">
            <a:ln>
              <a:noFill/>
            </a:ln>
            <a:solidFill>
              <a:schemeClr val="bg1"/>
            </a:solidFill>
          </a:endParaRPr>
        </a:p>
        <a:p>
          <a:endParaRPr lang="en-IN" sz="1100">
            <a:ln>
              <a:noFill/>
            </a:ln>
          </a:endParaRPr>
        </a:p>
      </xdr:txBody>
    </xdr:sp>
    <xdr:clientData/>
  </xdr:twoCellAnchor>
  <xdr:oneCellAnchor>
    <xdr:from>
      <xdr:col>2</xdr:col>
      <xdr:colOff>515820</xdr:colOff>
      <xdr:row>38</xdr:row>
      <xdr:rowOff>106512</xdr:rowOff>
    </xdr:from>
    <xdr:ext cx="184731" cy="264560"/>
    <xdr:sp macro="" textlink="">
      <xdr:nvSpPr>
        <xdr:cNvPr id="41" name="TextBox 40">
          <a:extLst>
            <a:ext uri="{FF2B5EF4-FFF2-40B4-BE49-F238E27FC236}">
              <a16:creationId xmlns:a16="http://schemas.microsoft.com/office/drawing/2014/main" id="{D8A2AD38-48FA-4C16-9BD4-7830AE0ED6BD}"/>
            </a:ext>
          </a:extLst>
        </xdr:cNvPr>
        <xdr:cNvSpPr txBox="1"/>
      </xdr:nvSpPr>
      <xdr:spPr>
        <a:xfrm>
          <a:off x="1087320" y="70559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471409</xdr:colOff>
      <xdr:row>37</xdr:row>
      <xdr:rowOff>13427</xdr:rowOff>
    </xdr:from>
    <xdr:to>
      <xdr:col>3</xdr:col>
      <xdr:colOff>672611</xdr:colOff>
      <xdr:row>38</xdr:row>
      <xdr:rowOff>34791</xdr:rowOff>
    </xdr:to>
    <xdr:sp macro="" textlink="Pivots!E12">
      <xdr:nvSpPr>
        <xdr:cNvPr id="42" name="TextBox 41">
          <a:extLst>
            <a:ext uri="{FF2B5EF4-FFF2-40B4-BE49-F238E27FC236}">
              <a16:creationId xmlns:a16="http://schemas.microsoft.com/office/drawing/2014/main" id="{596F5135-83AA-4FE6-B554-20CC895FDC5E}"/>
            </a:ext>
          </a:extLst>
        </xdr:cNvPr>
        <xdr:cNvSpPr txBox="1"/>
      </xdr:nvSpPr>
      <xdr:spPr>
        <a:xfrm>
          <a:off x="1045670" y="6959775"/>
          <a:ext cx="874854" cy="20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5A8537-C0F9-4381-9A07-23A18F32F80F}" type="TxLink">
            <a:rPr lang="en-US" sz="1100" b="1" i="0" u="none" strike="noStrike">
              <a:ln>
                <a:noFill/>
              </a:ln>
              <a:solidFill>
                <a:srgbClr val="000000"/>
              </a:solidFill>
              <a:latin typeface="Aptos"/>
            </a:rPr>
            <a:pPr/>
            <a:t>74</a:t>
          </a:fld>
          <a:endParaRPr lang="en-IN" sz="1100" b="1">
            <a:ln>
              <a:noFill/>
            </a:ln>
            <a:solidFill>
              <a:schemeClr val="bg1"/>
            </a:solidFill>
          </a:endParaRPr>
        </a:p>
      </xdr:txBody>
    </xdr:sp>
    <xdr:clientData/>
  </xdr:twoCellAnchor>
  <xdr:twoCellAnchor editAs="oneCell">
    <xdr:from>
      <xdr:col>2</xdr:col>
      <xdr:colOff>38100</xdr:colOff>
      <xdr:row>26</xdr:row>
      <xdr:rowOff>91440</xdr:rowOff>
    </xdr:from>
    <xdr:to>
      <xdr:col>2</xdr:col>
      <xdr:colOff>336881</xdr:colOff>
      <xdr:row>28</xdr:row>
      <xdr:rowOff>12682</xdr:rowOff>
    </xdr:to>
    <xdr:pic>
      <xdr:nvPicPr>
        <xdr:cNvPr id="43" name="Graphic 42" descr="Shopping cart with solid fill">
          <a:extLst>
            <a:ext uri="{FF2B5EF4-FFF2-40B4-BE49-F238E27FC236}">
              <a16:creationId xmlns:a16="http://schemas.microsoft.com/office/drawing/2014/main" id="{7B4CAF72-1ED4-479A-A78F-3A949C90093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9600" y="4846320"/>
          <a:ext cx="298781" cy="287002"/>
        </a:xfrm>
        <a:prstGeom prst="rect">
          <a:avLst/>
        </a:prstGeom>
      </xdr:spPr>
    </xdr:pic>
    <xdr:clientData/>
  </xdr:twoCellAnchor>
  <xdr:twoCellAnchor editAs="oneCell">
    <xdr:from>
      <xdr:col>1</xdr:col>
      <xdr:colOff>225839</xdr:colOff>
      <xdr:row>34</xdr:row>
      <xdr:rowOff>48371</xdr:rowOff>
    </xdr:from>
    <xdr:to>
      <xdr:col>2</xdr:col>
      <xdr:colOff>156979</xdr:colOff>
      <xdr:row>35</xdr:row>
      <xdr:rowOff>96849</xdr:rowOff>
    </xdr:to>
    <xdr:pic>
      <xdr:nvPicPr>
        <xdr:cNvPr id="44" name="Graphic 43" descr="Star-struck face outline with solid fill">
          <a:extLst>
            <a:ext uri="{FF2B5EF4-FFF2-40B4-BE49-F238E27FC236}">
              <a16:creationId xmlns:a16="http://schemas.microsoft.com/office/drawing/2014/main" id="{4D0979F1-390E-4057-A8F7-2487CF823AA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90882" y="6431501"/>
          <a:ext cx="240358" cy="236218"/>
        </a:xfrm>
        <a:prstGeom prst="rect">
          <a:avLst/>
        </a:prstGeom>
      </xdr:spPr>
    </xdr:pic>
    <xdr:clientData/>
  </xdr:twoCellAnchor>
  <xdr:twoCellAnchor>
    <xdr:from>
      <xdr:col>5</xdr:col>
      <xdr:colOff>133864</xdr:colOff>
      <xdr:row>3</xdr:row>
      <xdr:rowOff>11045</xdr:rowOff>
    </xdr:from>
    <xdr:to>
      <xdr:col>13</xdr:col>
      <xdr:colOff>350107</xdr:colOff>
      <xdr:row>18</xdr:row>
      <xdr:rowOff>79274</xdr:rowOff>
    </xdr:to>
    <xdr:graphicFrame macro="">
      <xdr:nvGraphicFramePr>
        <xdr:cNvPr id="46" name="Chart 45">
          <a:extLst>
            <a:ext uri="{FF2B5EF4-FFF2-40B4-BE49-F238E27FC236}">
              <a16:creationId xmlns:a16="http://schemas.microsoft.com/office/drawing/2014/main" id="{1E549BCE-696A-4B69-A76A-37EBA3366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157239</xdr:colOff>
      <xdr:row>20</xdr:row>
      <xdr:rowOff>72572</xdr:rowOff>
    </xdr:from>
    <xdr:to>
      <xdr:col>9</xdr:col>
      <xdr:colOff>532190</xdr:colOff>
      <xdr:row>39</xdr:row>
      <xdr:rowOff>0</xdr:rowOff>
    </xdr:to>
    <xdr:graphicFrame macro="">
      <xdr:nvGraphicFramePr>
        <xdr:cNvPr id="9" name="Chart 8">
          <a:extLst>
            <a:ext uri="{FF2B5EF4-FFF2-40B4-BE49-F238E27FC236}">
              <a16:creationId xmlns:a16="http://schemas.microsoft.com/office/drawing/2014/main" id="{EF1474C9-C382-4FC5-8995-DA4D629BD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544285</xdr:colOff>
      <xdr:row>20</xdr:row>
      <xdr:rowOff>72571</xdr:rowOff>
    </xdr:from>
    <xdr:to>
      <xdr:col>14</xdr:col>
      <xdr:colOff>205618</xdr:colOff>
      <xdr:row>38</xdr:row>
      <xdr:rowOff>181427</xdr:rowOff>
    </xdr:to>
    <xdr:graphicFrame macro="">
      <xdr:nvGraphicFramePr>
        <xdr:cNvPr id="14" name="Chart 13">
          <a:extLst>
            <a:ext uri="{FF2B5EF4-FFF2-40B4-BE49-F238E27FC236}">
              <a16:creationId xmlns:a16="http://schemas.microsoft.com/office/drawing/2014/main" id="{D916DF3F-ADA4-495E-B0BA-17CE63D96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1634</xdr:colOff>
      <xdr:row>3</xdr:row>
      <xdr:rowOff>61784</xdr:rowOff>
    </xdr:from>
    <xdr:to>
      <xdr:col>22</xdr:col>
      <xdr:colOff>278026</xdr:colOff>
      <xdr:row>18</xdr:row>
      <xdr:rowOff>14254</xdr:rowOff>
    </xdr:to>
    <xdr:graphicFrame macro="">
      <xdr:nvGraphicFramePr>
        <xdr:cNvPr id="19" name="Chart 18">
          <a:extLst>
            <a:ext uri="{FF2B5EF4-FFF2-40B4-BE49-F238E27FC236}">
              <a16:creationId xmlns:a16="http://schemas.microsoft.com/office/drawing/2014/main" id="{FE681664-59C4-4DDB-8CEE-8FDCD9A18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463541</xdr:colOff>
      <xdr:row>3</xdr:row>
      <xdr:rowOff>72081</xdr:rowOff>
    </xdr:from>
    <xdr:to>
      <xdr:col>28</xdr:col>
      <xdr:colOff>82378</xdr:colOff>
      <xdr:row>18</xdr:row>
      <xdr:rowOff>10298</xdr:rowOff>
    </xdr:to>
    <xdr:graphicFrame macro="">
      <xdr:nvGraphicFramePr>
        <xdr:cNvPr id="23" name="Chart 22">
          <a:extLst>
            <a:ext uri="{FF2B5EF4-FFF2-40B4-BE49-F238E27FC236}">
              <a16:creationId xmlns:a16="http://schemas.microsoft.com/office/drawing/2014/main" id="{3DB7E43E-DA3A-4C55-8CA9-0AD72CD8F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3.546354861108" backgroundQuery="1" createdVersion="8" refreshedVersion="8" minRefreshableVersion="3" recordCount="0" supportSubquery="1" supportAdvancedDrill="1" xr:uid="{A0762773-1352-4AF7-8E9B-EF41BD43E298}">
  <cacheSource type="external" connectionId="1"/>
  <cacheFields count="3">
    <cacheField name="[Measures].[Call Count]" caption="Call Count" numFmtId="0" hierarchy="17" level="32767"/>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3.546356481478" backgroundQuery="1" createdVersion="8" refreshedVersion="8" minRefreshableVersion="3" recordCount="0" supportSubquery="1" supportAdvancedDrill="1" xr:uid="{99535DA9-34C3-4158-A36A-8E0AD6ECA5A6}">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4.521250810183" backgroundQuery="1" createdVersion="8" refreshedVersion="8" minRefreshableVersion="3" recordCount="0" supportSubquery="1" supportAdvancedDrill="1" xr:uid="{CF84B865-C65E-44DF-A05B-905A8BA3542A}">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4.552622453702" backgroundQuery="1" createdVersion="8" refreshedVersion="8" minRefreshableVersion="3" recordCount="0" supportSubquery="1" supportAdvancedDrill="1" xr:uid="{83E8487C-7A33-49C9-B058-1C36C801A4F5}">
  <cacheSource type="external" connectionId="1"/>
  <cacheFields count="4">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4.618994560187" backgroundQuery="1" createdVersion="8" refreshedVersion="8" minRefreshableVersion="3" recordCount="0" supportSubquery="1" supportAdvancedDrill="1" xr:uid="{C20DE265-EE68-4E6A-A208-9DE715496175}">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4.618995023149" backgroundQuery="1" createdVersion="8" refreshedVersion="8" minRefreshableVersion="3" recordCount="0" supportSubquery="1" supportAdvancedDrill="1" xr:uid="{BB69B502-BBAF-442F-A8AF-F9CAE51C1ECB}">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4.61899560185" backgroundQuery="1" createdVersion="8" refreshedVersion="8" minRefreshableVersion="3" recordCount="0" supportSubquery="1" supportAdvancedDrill="1" xr:uid="{231538BD-7305-470A-9FA8-7E66B0B8220C}">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4.618996180558" backgroundQuery="1" createdVersion="8" refreshedVersion="8" minRefreshableVersion="3" recordCount="0" supportSubquery="1" supportAdvancedDrill="1" xr:uid="{6C45280B-F02B-45F3-A008-A202301DBD90}">
  <cacheSource type="external" connectionId="1"/>
  <cacheFields count="1">
    <cacheField name="[calls].[Representative].[Representative]" caption="Representative" numFmtId="0" hierarchy="3" level="1">
      <sharedItems count="1">
        <s v="R02"/>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4.618996527781" backgroundQuery="1" createdVersion="8" refreshedVersion="8" minRefreshableVersion="3" recordCount="0" supportSubquery="1" supportAdvancedDrill="1" xr:uid="{64679670-3C89-4B69-B23C-BD06189DA2F8}">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LLURU HEENASAI" refreshedDate="46123.546340046298" backgroundQuery="1" createdVersion="3" refreshedVersion="8" minRefreshableVersion="3" recordCount="0" supportSubquery="1" supportAdvancedDrill="1" xr:uid="{9F0F1120-1BB6-4EA0-B1F7-8480EF0515C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623488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19C893-71D1-4329-A783-725EC42C276C}" name="Rep Totals" cacheId="123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8">
  <location ref="A64:G83"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C4632-2937-46FF-AC8F-A476652790DA}" name="Rep satisfaction" cacheId="17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54:B6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E898E2-D7DF-45CB-911C-927D380C1A58}" name="PivotTable3" cacheId="7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5:D50"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78A25-6D71-43A5-BFBE-0D4B60F5B836}" name="selected rep" cacheId="173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1:A4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EBA348-8FCB-427D-9323-CE545AB9BC2B}" name="summary pivot"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671CFD-D025-43F9-8CB8-76B24EF796B2}" name="Call count-Month" cacheId="17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1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4"/>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C147C5-6079-4A82-A06F-0EAA12A027B4}"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3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5C8F58-1F1D-41FA-8AD2-B4D0FBD8DF38}" name="day of the week-call count" cacheId="17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G16:H24"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1"/>
        <item x="5"/>
        <item x="6"/>
        <item x="4"/>
        <item x="0"/>
        <item x="2"/>
        <item x="3"/>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2263CF-C66B-4C1D-8F29-95B63199EE32}" name="rep pivot" cacheId="17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7F4089F-9661-4961-8E5D-6A7393C2988B}" sourceName="[calls].[Representative]">
  <pivotTables>
    <pivotTable tabId="6" name="rep pivot"/>
    <pivotTable tabId="6" name="Call count-Month"/>
    <pivotTable tabId="6" name="day of the week-call count"/>
    <pivotTable tabId="6" name="selected rep"/>
    <pivotTable tabId="6" name="Rep satisfaction"/>
  </pivotTables>
  <data>
    <olap pivotCacheId="196234883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461622A-E3FF-49B7-BB92-383A40910D05}" cache="Slicer_Representative" caption="Representative" level="1" style="SlicerStyleLight6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C9AD9-0E99-4EDD-8D88-EC8EC2F9F6CE}">
  <dimension ref="A3:J83"/>
  <sheetViews>
    <sheetView topLeftCell="A20" zoomScale="97" zoomScaleNormal="100" workbookViewId="0">
      <selection activeCell="G37" sqref="G37"/>
    </sheetView>
  </sheetViews>
  <sheetFormatPr defaultRowHeight="14.4" x14ac:dyDescent="0.3"/>
  <cols>
    <col min="1" max="1" width="12.59765625" bestFit="1" customWidth="1"/>
    <col min="2" max="2" width="9.796875" bestFit="1" customWidth="1"/>
    <col min="3" max="3" width="10.796875" bestFit="1" customWidth="1"/>
    <col min="4" max="4" width="9.59765625" bestFit="1" customWidth="1"/>
    <col min="5" max="5" width="7.09765625" bestFit="1" customWidth="1"/>
    <col min="6" max="6" width="6.59765625" bestFit="1" customWidth="1"/>
    <col min="7" max="7" width="12.59765625" bestFit="1" customWidth="1"/>
    <col min="8" max="8" width="9.796875" bestFit="1" customWidth="1"/>
    <col min="9" max="18" width="15.19921875" bestFit="1" customWidth="1"/>
    <col min="19" max="19" width="10.3984375" bestFit="1" customWidth="1"/>
    <col min="20" max="151" width="15.19921875" bestFit="1" customWidth="1"/>
    <col min="152" max="152" width="10.3984375" bestFit="1" customWidth="1"/>
  </cols>
  <sheetData>
    <row r="3" spans="1:8" x14ac:dyDescent="0.3">
      <c r="A3" t="s">
        <v>1042</v>
      </c>
      <c r="B3" t="s">
        <v>1043</v>
      </c>
      <c r="C3" t="s">
        <v>1044</v>
      </c>
      <c r="D3" t="s">
        <v>1045</v>
      </c>
      <c r="E3" t="s">
        <v>1046</v>
      </c>
    </row>
    <row r="4" spans="1:8" x14ac:dyDescent="0.3">
      <c r="A4" s="21">
        <v>1000</v>
      </c>
      <c r="B4" s="22">
        <v>96623</v>
      </c>
      <c r="C4" s="23">
        <v>89850</v>
      </c>
      <c r="D4" s="24">
        <v>3.8854000000000033</v>
      </c>
      <c r="E4" s="21">
        <v>307</v>
      </c>
    </row>
    <row r="11" spans="1:8" x14ac:dyDescent="0.3">
      <c r="A11" t="s">
        <v>1042</v>
      </c>
      <c r="B11" t="s">
        <v>1043</v>
      </c>
      <c r="C11" t="s">
        <v>1044</v>
      </c>
      <c r="D11" t="s">
        <v>1045</v>
      </c>
      <c r="E11" t="s">
        <v>1046</v>
      </c>
    </row>
    <row r="12" spans="1:8" x14ac:dyDescent="0.3">
      <c r="A12" s="21">
        <v>218</v>
      </c>
      <c r="B12" s="22">
        <v>20581</v>
      </c>
      <c r="C12" s="23">
        <v>19300</v>
      </c>
      <c r="D12" s="24">
        <v>3.8706422018348627</v>
      </c>
      <c r="E12" s="21">
        <v>74</v>
      </c>
    </row>
    <row r="16" spans="1:8" x14ac:dyDescent="0.3">
      <c r="A16" s="25" t="s">
        <v>1047</v>
      </c>
      <c r="B16" t="s">
        <v>1042</v>
      </c>
      <c r="C16" t="s">
        <v>1061</v>
      </c>
      <c r="G16" s="25" t="s">
        <v>1047</v>
      </c>
      <c r="H16" t="s">
        <v>1042</v>
      </c>
    </row>
    <row r="17" spans="1:10" x14ac:dyDescent="0.3">
      <c r="A17" s="26" t="s">
        <v>1049</v>
      </c>
      <c r="B17" s="21">
        <v>19</v>
      </c>
      <c r="C17" s="21">
        <v>19</v>
      </c>
      <c r="G17" s="26" t="s">
        <v>1063</v>
      </c>
      <c r="H17" s="21">
        <v>24</v>
      </c>
    </row>
    <row r="18" spans="1:10" x14ac:dyDescent="0.3">
      <c r="A18" s="26" t="s">
        <v>1050</v>
      </c>
      <c r="B18" s="21">
        <v>10</v>
      </c>
      <c r="C18" s="21">
        <v>10</v>
      </c>
      <c r="G18" s="26" t="s">
        <v>1067</v>
      </c>
      <c r="H18" s="21">
        <v>44</v>
      </c>
    </row>
    <row r="19" spans="1:10" x14ac:dyDescent="0.3">
      <c r="A19" s="26" t="s">
        <v>1051</v>
      </c>
      <c r="B19" s="21">
        <v>40</v>
      </c>
      <c r="C19" s="21">
        <v>40</v>
      </c>
      <c r="G19" s="26" t="s">
        <v>1068</v>
      </c>
      <c r="H19" s="21">
        <v>36</v>
      </c>
    </row>
    <row r="20" spans="1:10" x14ac:dyDescent="0.3">
      <c r="A20" s="26" t="s">
        <v>1052</v>
      </c>
      <c r="B20" s="21">
        <v>40</v>
      </c>
      <c r="C20" s="21">
        <v>40</v>
      </c>
      <c r="G20" s="26" t="s">
        <v>1066</v>
      </c>
      <c r="H20" s="21">
        <v>33</v>
      </c>
    </row>
    <row r="21" spans="1:10" x14ac:dyDescent="0.3">
      <c r="A21" s="26" t="s">
        <v>1053</v>
      </c>
      <c r="B21" s="21">
        <v>13</v>
      </c>
      <c r="C21" s="21">
        <v>13</v>
      </c>
      <c r="G21" s="26" t="s">
        <v>1062</v>
      </c>
      <c r="H21" s="21">
        <v>29</v>
      </c>
    </row>
    <row r="22" spans="1:10" x14ac:dyDescent="0.3">
      <c r="A22" s="26" t="s">
        <v>1054</v>
      </c>
      <c r="B22" s="21">
        <v>12</v>
      </c>
      <c r="C22" s="21">
        <v>12</v>
      </c>
      <c r="G22" s="26" t="s">
        <v>1064</v>
      </c>
      <c r="H22" s="21">
        <v>24</v>
      </c>
    </row>
    <row r="23" spans="1:10" x14ac:dyDescent="0.3">
      <c r="A23" s="26" t="s">
        <v>1055</v>
      </c>
      <c r="B23" s="21">
        <v>9</v>
      </c>
      <c r="C23" s="21">
        <v>9</v>
      </c>
      <c r="G23" s="26" t="s">
        <v>1065</v>
      </c>
      <c r="H23" s="21">
        <v>28</v>
      </c>
    </row>
    <row r="24" spans="1:10" x14ac:dyDescent="0.3">
      <c r="A24" s="26" t="s">
        <v>1056</v>
      </c>
      <c r="B24" s="21">
        <v>13</v>
      </c>
      <c r="C24" s="21">
        <v>13</v>
      </c>
      <c r="G24" s="26" t="s">
        <v>1048</v>
      </c>
      <c r="H24" s="21">
        <v>218</v>
      </c>
    </row>
    <row r="25" spans="1:10" x14ac:dyDescent="0.3">
      <c r="A25" s="26" t="s">
        <v>1057</v>
      </c>
      <c r="B25" s="21">
        <v>18</v>
      </c>
      <c r="C25" s="21">
        <v>18</v>
      </c>
    </row>
    <row r="26" spans="1:10" x14ac:dyDescent="0.3">
      <c r="A26" s="26" t="s">
        <v>1058</v>
      </c>
      <c r="B26" s="21">
        <v>21</v>
      </c>
      <c r="C26" s="21">
        <v>21</v>
      </c>
    </row>
    <row r="27" spans="1:10" x14ac:dyDescent="0.3">
      <c r="A27" s="26" t="s">
        <v>1059</v>
      </c>
      <c r="B27" s="21">
        <v>14</v>
      </c>
      <c r="C27" s="21">
        <v>14</v>
      </c>
    </row>
    <row r="28" spans="1:10" x14ac:dyDescent="0.3">
      <c r="A28" s="26" t="s">
        <v>1060</v>
      </c>
      <c r="B28" s="21">
        <v>9</v>
      </c>
      <c r="C28" s="21">
        <v>9</v>
      </c>
    </row>
    <row r="29" spans="1:10" x14ac:dyDescent="0.3">
      <c r="A29" s="26" t="s">
        <v>1048</v>
      </c>
      <c r="B29" s="21">
        <v>218</v>
      </c>
      <c r="C29" s="21">
        <v>218</v>
      </c>
    </row>
    <row r="30" spans="1:10" x14ac:dyDescent="0.3">
      <c r="F30" t="s">
        <v>1069</v>
      </c>
      <c r="I30" t="s">
        <v>1076</v>
      </c>
      <c r="J30" t="str">
        <f>A42</f>
        <v>R02</v>
      </c>
    </row>
    <row r="32" spans="1:10" x14ac:dyDescent="0.3">
      <c r="A32" s="25" t="s">
        <v>1047</v>
      </c>
      <c r="B32" t="s">
        <v>1042</v>
      </c>
      <c r="C32" t="s">
        <v>1043</v>
      </c>
      <c r="F32" t="s">
        <v>1071</v>
      </c>
      <c r="G32" t="s">
        <v>1072</v>
      </c>
      <c r="H32" t="s">
        <v>1073</v>
      </c>
      <c r="I32" t="s">
        <v>1074</v>
      </c>
      <c r="J32" t="s">
        <v>1075</v>
      </c>
    </row>
    <row r="33" spans="1:10" x14ac:dyDescent="0.3">
      <c r="A33" s="26" t="s">
        <v>11</v>
      </c>
      <c r="B33" s="21">
        <v>189</v>
      </c>
      <c r="C33" s="22">
        <v>18415</v>
      </c>
      <c r="F33" t="str">
        <f>A33</f>
        <v>R01</v>
      </c>
      <c r="G33">
        <f>B33</f>
        <v>189</v>
      </c>
      <c r="H33" s="27">
        <f>C33</f>
        <v>18415</v>
      </c>
      <c r="I33" t="e">
        <f>IF(F33=J30,G33,NA())</f>
        <v>#N/A</v>
      </c>
      <c r="J33" t="e">
        <f>IF(F33=J30,H33,NA())</f>
        <v>#N/A</v>
      </c>
    </row>
    <row r="34" spans="1:10" x14ac:dyDescent="0.3">
      <c r="A34" s="26" t="s">
        <v>9</v>
      </c>
      <c r="B34" s="21">
        <v>218</v>
      </c>
      <c r="C34" s="22">
        <v>20581</v>
      </c>
      <c r="F34" t="str">
        <f>A34</f>
        <v>R02</v>
      </c>
      <c r="G34">
        <f>B34</f>
        <v>218</v>
      </c>
      <c r="H34" s="27">
        <f>C34</f>
        <v>20581</v>
      </c>
      <c r="I34">
        <f>IF(F34=J30,G34,NA())</f>
        <v>218</v>
      </c>
      <c r="J34">
        <f>IF(F34=J30,H34,NA())</f>
        <v>20581</v>
      </c>
    </row>
    <row r="35" spans="1:10" x14ac:dyDescent="0.3">
      <c r="A35" s="26" t="s">
        <v>6</v>
      </c>
      <c r="B35" s="21">
        <v>207</v>
      </c>
      <c r="C35" s="22">
        <v>20872</v>
      </c>
      <c r="F35" t="str">
        <f>A35</f>
        <v>R03</v>
      </c>
      <c r="G35">
        <f>B35</f>
        <v>207</v>
      </c>
      <c r="H35" s="27">
        <f>C35</f>
        <v>20872</v>
      </c>
      <c r="I35" t="e">
        <f>IF(F35=J30,G35,NA())</f>
        <v>#N/A</v>
      </c>
      <c r="J35" t="e">
        <f>IF(F35=J30,H35,NA())</f>
        <v>#N/A</v>
      </c>
    </row>
    <row r="36" spans="1:10" x14ac:dyDescent="0.3">
      <c r="A36" s="26" t="s">
        <v>13</v>
      </c>
      <c r="B36" s="21">
        <v>186</v>
      </c>
      <c r="C36" s="22">
        <v>16651</v>
      </c>
      <c r="F36" t="str">
        <f>A36</f>
        <v>R04</v>
      </c>
      <c r="G36">
        <f>B36</f>
        <v>186</v>
      </c>
      <c r="H36" s="27">
        <f>C36</f>
        <v>16651</v>
      </c>
      <c r="I36" t="e">
        <f>IF(F36=J30,G36,NA())</f>
        <v>#N/A</v>
      </c>
      <c r="J36" t="e">
        <f>IF(F36=J30,H36,NA())</f>
        <v>#N/A</v>
      </c>
    </row>
    <row r="37" spans="1:10" x14ac:dyDescent="0.3">
      <c r="A37" s="26" t="s">
        <v>10</v>
      </c>
      <c r="B37" s="21">
        <v>200</v>
      </c>
      <c r="C37" s="22">
        <v>20104</v>
      </c>
      <c r="F37" t="str">
        <f>A37</f>
        <v>R05</v>
      </c>
      <c r="G37">
        <f>B37</f>
        <v>200</v>
      </c>
      <c r="H37" s="27">
        <f>C37</f>
        <v>20104</v>
      </c>
      <c r="I37" t="e">
        <f>IF(F37=J30,G37,NA())</f>
        <v>#N/A</v>
      </c>
      <c r="J37" t="e">
        <f>IF(F37=J30,H37,NA())</f>
        <v>#N/A</v>
      </c>
    </row>
    <row r="38" spans="1:10" x14ac:dyDescent="0.3">
      <c r="A38" s="26" t="s">
        <v>1048</v>
      </c>
      <c r="B38" s="21">
        <v>1000</v>
      </c>
      <c r="C38" s="22">
        <v>96623</v>
      </c>
    </row>
    <row r="41" spans="1:10" x14ac:dyDescent="0.3">
      <c r="A41" s="25" t="s">
        <v>1047</v>
      </c>
    </row>
    <row r="42" spans="1:10" x14ac:dyDescent="0.3">
      <c r="A42" s="26" t="s">
        <v>9</v>
      </c>
    </row>
    <row r="45" spans="1:10" x14ac:dyDescent="0.3">
      <c r="A45" s="25" t="s">
        <v>1042</v>
      </c>
      <c r="B45" s="25" t="s">
        <v>1077</v>
      </c>
    </row>
    <row r="46" spans="1:10" x14ac:dyDescent="0.3">
      <c r="A46" s="25" t="s">
        <v>1047</v>
      </c>
      <c r="B46" t="s">
        <v>999</v>
      </c>
      <c r="C46" t="s">
        <v>998</v>
      </c>
      <c r="D46" t="s">
        <v>1048</v>
      </c>
    </row>
    <row r="47" spans="1:10" x14ac:dyDescent="0.3">
      <c r="A47" s="26" t="s">
        <v>1002</v>
      </c>
      <c r="B47" s="21">
        <v>144</v>
      </c>
      <c r="C47" s="21">
        <v>132</v>
      </c>
      <c r="D47" s="21">
        <v>276</v>
      </c>
    </row>
    <row r="48" spans="1:10" x14ac:dyDescent="0.3">
      <c r="A48" s="26" t="s">
        <v>1001</v>
      </c>
      <c r="B48" s="21">
        <v>326</v>
      </c>
      <c r="C48" s="21">
        <v>63</v>
      </c>
      <c r="D48" s="21">
        <v>389</v>
      </c>
    </row>
    <row r="49" spans="1:4" x14ac:dyDescent="0.3">
      <c r="A49" s="26" t="s">
        <v>1000</v>
      </c>
      <c r="B49" s="21">
        <v>129</v>
      </c>
      <c r="C49" s="21">
        <v>206</v>
      </c>
      <c r="D49" s="21">
        <v>335</v>
      </c>
    </row>
    <row r="50" spans="1:4" x14ac:dyDescent="0.3">
      <c r="A50" s="26" t="s">
        <v>1048</v>
      </c>
      <c r="B50" s="21">
        <v>599</v>
      </c>
      <c r="C50" s="21">
        <v>401</v>
      </c>
      <c r="D50" s="21">
        <v>1000</v>
      </c>
    </row>
    <row r="54" spans="1:4" x14ac:dyDescent="0.3">
      <c r="A54" s="25" t="s">
        <v>1047</v>
      </c>
      <c r="B54" t="s">
        <v>1042</v>
      </c>
    </row>
    <row r="55" spans="1:4" x14ac:dyDescent="0.3">
      <c r="A55" s="26">
        <v>1</v>
      </c>
      <c r="B55" s="21">
        <v>3</v>
      </c>
    </row>
    <row r="56" spans="1:4" x14ac:dyDescent="0.3">
      <c r="A56" s="26">
        <v>2</v>
      </c>
      <c r="B56" s="21">
        <v>19</v>
      </c>
    </row>
    <row r="57" spans="1:4" x14ac:dyDescent="0.3">
      <c r="A57" s="26">
        <v>3</v>
      </c>
      <c r="B57" s="21">
        <v>35</v>
      </c>
    </row>
    <row r="58" spans="1:4" x14ac:dyDescent="0.3">
      <c r="A58" s="26">
        <v>4</v>
      </c>
      <c r="B58" s="21">
        <v>87</v>
      </c>
    </row>
    <row r="59" spans="1:4" x14ac:dyDescent="0.3">
      <c r="A59" s="26">
        <v>5</v>
      </c>
      <c r="B59" s="21">
        <v>74</v>
      </c>
    </row>
    <row r="60" spans="1:4" x14ac:dyDescent="0.3">
      <c r="A60" s="26" t="s">
        <v>1048</v>
      </c>
      <c r="B60" s="21">
        <v>218</v>
      </c>
    </row>
    <row r="64" spans="1:4" x14ac:dyDescent="0.3">
      <c r="A64" s="25" t="s">
        <v>1043</v>
      </c>
      <c r="B64" s="25" t="s">
        <v>1077</v>
      </c>
    </row>
    <row r="65" spans="1:7" x14ac:dyDescent="0.3">
      <c r="A65" s="25" t="s">
        <v>1047</v>
      </c>
      <c r="B65" t="s">
        <v>11</v>
      </c>
      <c r="C65" t="s">
        <v>9</v>
      </c>
      <c r="D65" t="s">
        <v>6</v>
      </c>
      <c r="E65" t="s">
        <v>13</v>
      </c>
      <c r="F65" t="s">
        <v>10</v>
      </c>
      <c r="G65" t="s">
        <v>1048</v>
      </c>
    </row>
    <row r="66" spans="1:7" x14ac:dyDescent="0.3">
      <c r="A66" s="26" t="s">
        <v>1002</v>
      </c>
      <c r="B66" s="28"/>
      <c r="C66" s="28"/>
      <c r="D66" s="28"/>
      <c r="E66" s="28"/>
      <c r="F66" s="28"/>
      <c r="G66" s="28"/>
    </row>
    <row r="67" spans="1:7" x14ac:dyDescent="0.3">
      <c r="A67" s="29" t="s">
        <v>20</v>
      </c>
      <c r="B67" s="22">
        <v>891</v>
      </c>
      <c r="C67" s="22">
        <v>1332</v>
      </c>
      <c r="D67" s="22">
        <v>1282</v>
      </c>
      <c r="E67" s="22">
        <v>739</v>
      </c>
      <c r="F67" s="22">
        <v>560</v>
      </c>
      <c r="G67" s="22">
        <v>4804</v>
      </c>
    </row>
    <row r="68" spans="1:7" x14ac:dyDescent="0.3">
      <c r="A68" s="29" t="s">
        <v>12</v>
      </c>
      <c r="B68" s="22">
        <v>1991</v>
      </c>
      <c r="C68" s="22">
        <v>1886</v>
      </c>
      <c r="D68" s="22">
        <v>1206</v>
      </c>
      <c r="E68" s="22">
        <v>884</v>
      </c>
      <c r="F68" s="22">
        <v>1722</v>
      </c>
      <c r="G68" s="22">
        <v>7689</v>
      </c>
    </row>
    <row r="69" spans="1:7" x14ac:dyDescent="0.3">
      <c r="A69" s="29" t="s">
        <v>8</v>
      </c>
      <c r="B69" s="22">
        <v>1163</v>
      </c>
      <c r="C69" s="22">
        <v>1180</v>
      </c>
      <c r="D69" s="22">
        <v>1616</v>
      </c>
      <c r="E69" s="22">
        <v>1043</v>
      </c>
      <c r="F69" s="22">
        <v>1747</v>
      </c>
      <c r="G69" s="22">
        <v>6749</v>
      </c>
    </row>
    <row r="70" spans="1:7" x14ac:dyDescent="0.3">
      <c r="A70" s="29" t="s">
        <v>16</v>
      </c>
      <c r="B70" s="22">
        <v>1438</v>
      </c>
      <c r="C70" s="22">
        <v>1616</v>
      </c>
      <c r="D70" s="22">
        <v>866</v>
      </c>
      <c r="E70" s="22">
        <v>829</v>
      </c>
      <c r="F70" s="22">
        <v>2070</v>
      </c>
      <c r="G70" s="22">
        <v>6819</v>
      </c>
    </row>
    <row r="71" spans="1:7" x14ac:dyDescent="0.3">
      <c r="A71" s="26" t="s">
        <v>1001</v>
      </c>
      <c r="B71" s="28"/>
      <c r="C71" s="28"/>
      <c r="D71" s="28"/>
      <c r="E71" s="28"/>
      <c r="F71" s="28"/>
      <c r="G71" s="28"/>
    </row>
    <row r="72" spans="1:7" x14ac:dyDescent="0.3">
      <c r="A72" s="29" t="s">
        <v>24</v>
      </c>
      <c r="B72" s="22">
        <v>1233</v>
      </c>
      <c r="C72" s="22">
        <v>223</v>
      </c>
      <c r="D72" s="22">
        <v>1680</v>
      </c>
      <c r="E72" s="22">
        <v>990</v>
      </c>
      <c r="F72" s="22">
        <v>1508</v>
      </c>
      <c r="G72" s="22">
        <v>5634</v>
      </c>
    </row>
    <row r="73" spans="1:7" x14ac:dyDescent="0.3">
      <c r="A73" s="29" t="s">
        <v>15</v>
      </c>
      <c r="B73" s="22">
        <v>1598</v>
      </c>
      <c r="C73" s="22">
        <v>1907</v>
      </c>
      <c r="D73" s="22">
        <v>869</v>
      </c>
      <c r="E73" s="22">
        <v>1426</v>
      </c>
      <c r="F73" s="22">
        <v>1416</v>
      </c>
      <c r="G73" s="22">
        <v>7216</v>
      </c>
    </row>
    <row r="74" spans="1:7" x14ac:dyDescent="0.3">
      <c r="A74" s="29" t="s">
        <v>5</v>
      </c>
      <c r="B74" s="22">
        <v>900</v>
      </c>
      <c r="C74" s="22">
        <v>1016</v>
      </c>
      <c r="D74" s="22">
        <v>960</v>
      </c>
      <c r="E74" s="22">
        <v>940</v>
      </c>
      <c r="F74" s="22">
        <v>1193</v>
      </c>
      <c r="G74" s="22">
        <v>5009</v>
      </c>
    </row>
    <row r="75" spans="1:7" x14ac:dyDescent="0.3">
      <c r="A75" s="29" t="s">
        <v>18</v>
      </c>
      <c r="B75" s="22">
        <v>900</v>
      </c>
      <c r="C75" s="22">
        <v>1470</v>
      </c>
      <c r="D75" s="22">
        <v>1617</v>
      </c>
      <c r="E75" s="22">
        <v>1314</v>
      </c>
      <c r="F75" s="22">
        <v>941</v>
      </c>
      <c r="G75" s="22">
        <v>6242</v>
      </c>
    </row>
    <row r="76" spans="1:7" x14ac:dyDescent="0.3">
      <c r="A76" s="29" t="s">
        <v>14</v>
      </c>
      <c r="B76" s="22">
        <v>1255</v>
      </c>
      <c r="C76" s="22">
        <v>516</v>
      </c>
      <c r="D76" s="22">
        <v>1874</v>
      </c>
      <c r="E76" s="22">
        <v>1863</v>
      </c>
      <c r="F76" s="22">
        <v>1722</v>
      </c>
      <c r="G76" s="22">
        <v>7230</v>
      </c>
    </row>
    <row r="77" spans="1:7" x14ac:dyDescent="0.3">
      <c r="A77" s="29" t="s">
        <v>19</v>
      </c>
      <c r="B77" s="22">
        <v>1138</v>
      </c>
      <c r="C77" s="22">
        <v>1898</v>
      </c>
      <c r="D77" s="22">
        <v>1482</v>
      </c>
      <c r="E77" s="22">
        <v>846</v>
      </c>
      <c r="F77" s="22">
        <v>1154</v>
      </c>
      <c r="G77" s="22">
        <v>6518</v>
      </c>
    </row>
    <row r="78" spans="1:7" x14ac:dyDescent="0.3">
      <c r="A78" s="26" t="s">
        <v>1000</v>
      </c>
      <c r="B78" s="28"/>
      <c r="C78" s="28"/>
      <c r="D78" s="28"/>
      <c r="E78" s="28"/>
      <c r="F78" s="28"/>
      <c r="G78" s="28"/>
    </row>
    <row r="79" spans="1:7" x14ac:dyDescent="0.3">
      <c r="A79" s="29" t="s">
        <v>17</v>
      </c>
      <c r="B79" s="22">
        <v>1655</v>
      </c>
      <c r="C79" s="22">
        <v>805</v>
      </c>
      <c r="D79" s="22">
        <v>2263</v>
      </c>
      <c r="E79" s="22">
        <v>987</v>
      </c>
      <c r="F79" s="22">
        <v>1075</v>
      </c>
      <c r="G79" s="22">
        <v>6785</v>
      </c>
    </row>
    <row r="80" spans="1:7" x14ac:dyDescent="0.3">
      <c r="A80" s="29" t="s">
        <v>23</v>
      </c>
      <c r="B80" s="22">
        <v>1104</v>
      </c>
      <c r="C80" s="22">
        <v>2280</v>
      </c>
      <c r="D80" s="22">
        <v>1445</v>
      </c>
      <c r="E80" s="22">
        <v>1722</v>
      </c>
      <c r="F80" s="22">
        <v>1196</v>
      </c>
      <c r="G80" s="22">
        <v>7747</v>
      </c>
    </row>
    <row r="81" spans="1:7" x14ac:dyDescent="0.3">
      <c r="A81" s="29" t="s">
        <v>7</v>
      </c>
      <c r="B81" s="22">
        <v>372</v>
      </c>
      <c r="C81" s="22">
        <v>1818</v>
      </c>
      <c r="D81" s="22">
        <v>1346</v>
      </c>
      <c r="E81" s="22">
        <v>1156</v>
      </c>
      <c r="F81" s="22">
        <v>1484</v>
      </c>
      <c r="G81" s="22">
        <v>6176</v>
      </c>
    </row>
    <row r="82" spans="1:7" x14ac:dyDescent="0.3">
      <c r="A82" s="29" t="s">
        <v>22</v>
      </c>
      <c r="B82" s="22">
        <v>1415</v>
      </c>
      <c r="C82" s="22">
        <v>1271</v>
      </c>
      <c r="D82" s="22">
        <v>1214</v>
      </c>
      <c r="E82" s="22">
        <v>1135</v>
      </c>
      <c r="F82" s="22">
        <v>1566</v>
      </c>
      <c r="G82" s="22">
        <v>6601</v>
      </c>
    </row>
    <row r="83" spans="1:7" x14ac:dyDescent="0.3">
      <c r="A83" s="29" t="s">
        <v>21</v>
      </c>
      <c r="B83" s="22">
        <v>1362</v>
      </c>
      <c r="C83" s="22">
        <v>1363</v>
      </c>
      <c r="D83" s="22">
        <v>1152</v>
      </c>
      <c r="E83" s="22">
        <v>777</v>
      </c>
      <c r="F83" s="22">
        <v>750</v>
      </c>
      <c r="G83"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H9" sqref="H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5A12-839E-48B9-9F02-6963B0026012}">
  <dimension ref="A1:BC56"/>
  <sheetViews>
    <sheetView tabSelected="1" zoomScale="69" zoomScaleNormal="25" workbookViewId="0">
      <selection activeCell="N44" sqref="N44"/>
    </sheetView>
  </sheetViews>
  <sheetFormatPr defaultRowHeight="14.4" x14ac:dyDescent="0.3"/>
  <cols>
    <col min="1" max="1" width="3.5" customWidth="1"/>
    <col min="2" max="2" width="4" customWidth="1"/>
    <col min="19" max="19" width="11.5" customWidth="1"/>
    <col min="20" max="20" width="10.3984375" customWidth="1"/>
    <col min="25" max="25" width="7.5" customWidth="1"/>
  </cols>
  <sheetData>
    <row r="1" spans="1:41"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row>
    <row r="2" spans="1:4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row>
    <row r="3" spans="1:41"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row>
    <row r="4" spans="1:41"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row>
    <row r="5" spans="1:4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row>
    <row r="6" spans="1:41"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row>
    <row r="7" spans="1:41"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row>
    <row r="8" spans="1:41"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row>
    <row r="10" spans="1:41"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row>
    <row r="11" spans="1:41"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row>
    <row r="12" spans="1:41"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row>
    <row r="13" spans="1:41"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row>
    <row r="14" spans="1:41"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row>
    <row r="15" spans="1:41"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t="s">
        <v>1070</v>
      </c>
      <c r="AA15" s="20"/>
      <c r="AB15" s="20"/>
      <c r="AC15" s="20"/>
      <c r="AD15" s="20"/>
      <c r="AE15" s="20"/>
      <c r="AF15" s="20"/>
      <c r="AG15" s="20"/>
      <c r="AH15" s="20"/>
      <c r="AI15" s="20"/>
      <c r="AJ15" s="20"/>
      <c r="AK15" s="20"/>
      <c r="AL15" s="20"/>
      <c r="AM15" s="20"/>
      <c r="AN15" s="20"/>
      <c r="AO15" s="20"/>
    </row>
    <row r="16" spans="1:41"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row>
    <row r="17" spans="1:55"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row>
    <row r="18" spans="1:55"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row>
    <row r="19" spans="1:55"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row>
    <row r="20" spans="1:55"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row>
    <row r="21" spans="1:55" x14ac:dyDescent="0.3">
      <c r="A21" s="20"/>
      <c r="B21" s="20"/>
      <c r="C21" s="20"/>
      <c r="D21" s="20"/>
      <c r="E21" s="20"/>
      <c r="F21" s="20"/>
      <c r="G21" s="20"/>
      <c r="H21" s="20"/>
      <c r="I21" s="20"/>
      <c r="J21" s="20"/>
      <c r="K21" s="20"/>
      <c r="L21" s="20"/>
      <c r="M21" s="20"/>
      <c r="N21" s="20"/>
      <c r="O21" s="20"/>
      <c r="P21" s="20"/>
      <c r="Q21" s="20"/>
      <c r="R21" s="20"/>
      <c r="S21" s="31"/>
      <c r="T21" s="36" t="str">
        <f>Pivots!B65</f>
        <v>R01</v>
      </c>
      <c r="U21" s="36" t="str">
        <f>Pivots!C65</f>
        <v>R02</v>
      </c>
      <c r="V21" s="36" t="str">
        <f>Pivots!D65</f>
        <v>R03</v>
      </c>
      <c r="W21" s="36" t="str">
        <f>Pivots!E65</f>
        <v>R04</v>
      </c>
      <c r="X21" s="36" t="str">
        <f>Pivots!F65</f>
        <v>R05</v>
      </c>
      <c r="Y21" s="38" t="s">
        <v>1078</v>
      </c>
      <c r="Z21" s="20"/>
      <c r="AA21" s="20"/>
      <c r="AB21" s="20"/>
      <c r="AC21" s="20"/>
      <c r="AD21" s="20"/>
      <c r="AE21" s="20"/>
      <c r="AF21" s="20"/>
      <c r="AG21" s="20"/>
      <c r="AH21" s="20"/>
      <c r="AI21" s="20"/>
      <c r="AJ21" s="20"/>
      <c r="AK21" s="20"/>
      <c r="AL21" s="20"/>
      <c r="AM21" s="20"/>
      <c r="AN21" s="20"/>
      <c r="AO21" s="20"/>
    </row>
    <row r="22" spans="1:55" x14ac:dyDescent="0.3">
      <c r="A22" s="20"/>
      <c r="B22" s="20"/>
      <c r="C22" s="20"/>
      <c r="D22" s="20"/>
      <c r="E22" s="20"/>
      <c r="F22" s="20"/>
      <c r="G22" s="20"/>
      <c r="H22" s="20"/>
      <c r="I22" s="20"/>
      <c r="J22" s="20"/>
      <c r="K22" s="20"/>
      <c r="L22" s="20"/>
      <c r="M22" s="20"/>
      <c r="N22" s="20"/>
      <c r="O22" s="20"/>
      <c r="P22" s="20"/>
      <c r="Q22" s="20"/>
      <c r="R22" s="20"/>
      <c r="S22" s="37" t="str">
        <f>Pivots!A66</f>
        <v>Cincinnati</v>
      </c>
      <c r="T22" s="33"/>
      <c r="U22" s="33"/>
      <c r="V22" s="33"/>
      <c r="W22" s="33"/>
      <c r="X22" s="33"/>
      <c r="Y22" s="39"/>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row>
    <row r="23" spans="1:55" x14ac:dyDescent="0.3">
      <c r="A23" s="20"/>
      <c r="B23" s="20"/>
      <c r="C23" s="20"/>
      <c r="D23" s="20"/>
      <c r="E23" s="20"/>
      <c r="F23" s="20"/>
      <c r="G23" s="20"/>
      <c r="H23" s="20"/>
      <c r="I23" s="20"/>
      <c r="J23" s="20"/>
      <c r="K23" s="20"/>
      <c r="L23" s="20"/>
      <c r="M23" s="20"/>
      <c r="N23" s="20"/>
      <c r="O23" s="20"/>
      <c r="P23" s="20"/>
      <c r="Q23" s="20"/>
      <c r="R23" s="20"/>
      <c r="S23" s="32" t="str">
        <f>Pivots!A67</f>
        <v>C0003</v>
      </c>
      <c r="T23" s="33">
        <f>Pivots!B67</f>
        <v>891</v>
      </c>
      <c r="U23" s="33">
        <f>Pivots!C67</f>
        <v>1332</v>
      </c>
      <c r="V23" s="33">
        <f>Pivots!D67</f>
        <v>1282</v>
      </c>
      <c r="W23" s="33">
        <f>Pivots!E67</f>
        <v>739</v>
      </c>
      <c r="X23" s="33">
        <f>Pivots!F67</f>
        <v>560</v>
      </c>
      <c r="Y23" s="39">
        <f>Pivots!G67</f>
        <v>4804</v>
      </c>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row>
    <row r="24" spans="1:55" x14ac:dyDescent="0.3">
      <c r="A24" s="20"/>
      <c r="B24" s="20"/>
      <c r="C24" s="20"/>
      <c r="D24" s="20"/>
      <c r="E24" s="20"/>
      <c r="F24" s="20"/>
      <c r="G24" s="20"/>
      <c r="H24" s="20"/>
      <c r="I24" s="20"/>
      <c r="J24" s="20"/>
      <c r="K24" s="20"/>
      <c r="L24" s="20"/>
      <c r="M24" s="20"/>
      <c r="N24" s="20"/>
      <c r="O24" s="20"/>
      <c r="P24" s="20"/>
      <c r="Q24" s="20"/>
      <c r="R24" s="20"/>
      <c r="S24" s="32" t="str">
        <f>Pivots!A68</f>
        <v>C0004</v>
      </c>
      <c r="T24" s="33">
        <f>Pivots!B68</f>
        <v>1991</v>
      </c>
      <c r="U24" s="33">
        <f>Pivots!C68</f>
        <v>1886</v>
      </c>
      <c r="V24" s="33">
        <f>Pivots!D68</f>
        <v>1206</v>
      </c>
      <c r="W24" s="33">
        <f>Pivots!E68</f>
        <v>884</v>
      </c>
      <c r="X24" s="33">
        <f>Pivots!F68</f>
        <v>1722</v>
      </c>
      <c r="Y24" s="39">
        <f>Pivots!G68</f>
        <v>7689</v>
      </c>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row>
    <row r="25" spans="1:55" x14ac:dyDescent="0.3">
      <c r="A25" s="20"/>
      <c r="B25" s="20"/>
      <c r="C25" s="20"/>
      <c r="D25" s="20"/>
      <c r="E25" s="20"/>
      <c r="F25" s="20"/>
      <c r="G25" s="20"/>
      <c r="H25" s="20"/>
      <c r="I25" s="20"/>
      <c r="J25" s="20"/>
      <c r="K25" s="20"/>
      <c r="L25" s="20"/>
      <c r="M25" s="20"/>
      <c r="N25" s="20"/>
      <c r="O25" s="20"/>
      <c r="P25" s="20"/>
      <c r="Q25" s="20"/>
      <c r="R25" s="20"/>
      <c r="S25" s="32" t="str">
        <f>Pivots!A69</f>
        <v>C0011</v>
      </c>
      <c r="T25" s="33">
        <f>Pivots!B69</f>
        <v>1163</v>
      </c>
      <c r="U25" s="33">
        <f>Pivots!C69</f>
        <v>1180</v>
      </c>
      <c r="V25" s="33">
        <f>Pivots!D69</f>
        <v>1616</v>
      </c>
      <c r="W25" s="33">
        <f>Pivots!E69</f>
        <v>1043</v>
      </c>
      <c r="X25" s="33">
        <f>Pivots!F69</f>
        <v>1747</v>
      </c>
      <c r="Y25" s="39">
        <f>Pivots!G69</f>
        <v>6749</v>
      </c>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row>
    <row r="26" spans="1:55" x14ac:dyDescent="0.3">
      <c r="A26" s="20"/>
      <c r="B26" s="20"/>
      <c r="C26" s="20"/>
      <c r="D26" s="20"/>
      <c r="E26" s="20"/>
      <c r="F26" s="20"/>
      <c r="G26" s="20"/>
      <c r="H26" s="20"/>
      <c r="I26" s="20"/>
      <c r="J26" s="20"/>
      <c r="K26" s="20"/>
      <c r="L26" s="20"/>
      <c r="M26" s="20"/>
      <c r="N26" s="20"/>
      <c r="O26" s="20"/>
      <c r="P26" s="20"/>
      <c r="Q26" s="20"/>
      <c r="R26" s="20"/>
      <c r="S26" s="32" t="str">
        <f>Pivots!A70</f>
        <v>C0012</v>
      </c>
      <c r="T26" s="33">
        <f>Pivots!B70</f>
        <v>1438</v>
      </c>
      <c r="U26" s="33">
        <f>Pivots!C70</f>
        <v>1616</v>
      </c>
      <c r="V26" s="33">
        <f>Pivots!D70</f>
        <v>866</v>
      </c>
      <c r="W26" s="33">
        <f>Pivots!E70</f>
        <v>829</v>
      </c>
      <c r="X26" s="33">
        <f>Pivots!F70</f>
        <v>2070</v>
      </c>
      <c r="Y26" s="39">
        <f>Pivots!G70</f>
        <v>6819</v>
      </c>
      <c r="Z26" s="20"/>
      <c r="AA26" s="20"/>
      <c r="AB26" s="20"/>
      <c r="AC26" s="20"/>
      <c r="AD26" s="20"/>
      <c r="AE26" s="20"/>
      <c r="AF26" s="20"/>
      <c r="AG26" s="20"/>
      <c r="AH26" s="20"/>
      <c r="AI26" s="20"/>
      <c r="AJ26" s="20"/>
      <c r="AK26" s="20"/>
      <c r="AL26" s="20"/>
      <c r="AM26" s="20"/>
      <c r="AN26" s="20"/>
      <c r="AO26" s="20"/>
      <c r="AP26" s="20"/>
      <c r="AQ26" s="20"/>
      <c r="AR26" s="20"/>
      <c r="AS26" s="20"/>
      <c r="AT26" s="20"/>
      <c r="AU26" s="20"/>
      <c r="AV26" s="20"/>
    </row>
    <row r="27" spans="1:55" x14ac:dyDescent="0.3">
      <c r="A27" s="20"/>
      <c r="B27" s="20"/>
      <c r="C27" s="20"/>
      <c r="D27" s="20"/>
      <c r="E27" s="20"/>
      <c r="F27" s="20"/>
      <c r="G27" s="20"/>
      <c r="H27" s="20"/>
      <c r="I27" s="20"/>
      <c r="J27" s="20"/>
      <c r="K27" s="20"/>
      <c r="L27" s="20"/>
      <c r="M27" s="20"/>
      <c r="N27" s="20"/>
      <c r="O27" s="20"/>
      <c r="P27" s="20"/>
      <c r="Q27" s="20"/>
      <c r="R27" s="20"/>
      <c r="S27" s="37" t="str">
        <f>Pivots!A71</f>
        <v>Cleveland</v>
      </c>
      <c r="T27" s="33"/>
      <c r="U27" s="33"/>
      <c r="V27" s="33"/>
      <c r="W27" s="33"/>
      <c r="X27" s="33"/>
      <c r="Y27" s="39"/>
      <c r="Z27" s="20"/>
      <c r="AA27" s="20"/>
      <c r="AB27" s="20"/>
      <c r="AC27" s="20"/>
      <c r="AD27" s="20"/>
      <c r="AE27" s="20"/>
      <c r="AF27" s="20"/>
      <c r="AG27" s="20"/>
      <c r="AH27" s="20"/>
      <c r="AI27" s="20"/>
      <c r="AJ27" s="20"/>
      <c r="AK27" s="20"/>
      <c r="AL27" s="20"/>
      <c r="AM27" s="20"/>
      <c r="AN27" s="20"/>
      <c r="AO27" s="20"/>
    </row>
    <row r="28" spans="1:55" x14ac:dyDescent="0.3">
      <c r="A28" s="20"/>
      <c r="B28" s="20"/>
      <c r="C28" s="20"/>
      <c r="D28" s="20"/>
      <c r="E28" s="20"/>
      <c r="F28" s="20"/>
      <c r="G28" s="20"/>
      <c r="H28" s="20"/>
      <c r="I28" s="20"/>
      <c r="J28" s="20"/>
      <c r="K28" s="20"/>
      <c r="L28" s="20"/>
      <c r="M28" s="20"/>
      <c r="N28" s="20"/>
      <c r="O28" s="20"/>
      <c r="P28" s="20"/>
      <c r="Q28" s="20"/>
      <c r="R28" s="20"/>
      <c r="S28" s="32" t="str">
        <f>Pivots!A72</f>
        <v>C0002</v>
      </c>
      <c r="T28" s="33">
        <f>Pivots!B72</f>
        <v>1233</v>
      </c>
      <c r="U28" s="33">
        <f>Pivots!C72</f>
        <v>223</v>
      </c>
      <c r="V28" s="33">
        <f>Pivots!D72</f>
        <v>1680</v>
      </c>
      <c r="W28" s="33">
        <f>Pivots!E72</f>
        <v>990</v>
      </c>
      <c r="X28" s="33">
        <f>Pivots!F72</f>
        <v>1508</v>
      </c>
      <c r="Y28" s="39">
        <f>Pivots!G72</f>
        <v>5634</v>
      </c>
      <c r="Z28" s="20"/>
      <c r="AA28" s="20"/>
      <c r="AB28" s="20"/>
      <c r="AC28" s="20"/>
      <c r="AD28" s="20"/>
      <c r="AE28" s="20"/>
      <c r="AF28" s="20"/>
      <c r="AG28" s="20"/>
      <c r="AH28" s="20"/>
      <c r="AI28" s="20"/>
      <c r="AJ28" s="20"/>
      <c r="AK28" s="20"/>
      <c r="AL28" s="20"/>
      <c r="AM28" s="20"/>
      <c r="AN28" s="20"/>
      <c r="AO28" s="20"/>
    </row>
    <row r="29" spans="1:55" x14ac:dyDescent="0.3">
      <c r="A29" s="20"/>
      <c r="B29" s="20"/>
      <c r="C29" s="20"/>
      <c r="D29" s="20"/>
      <c r="E29" s="20"/>
      <c r="F29" s="20"/>
      <c r="G29" s="20"/>
      <c r="H29" s="20"/>
      <c r="I29" s="20"/>
      <c r="J29" s="20"/>
      <c r="K29" s="20"/>
      <c r="L29" s="20"/>
      <c r="M29" s="20"/>
      <c r="N29" s="20"/>
      <c r="O29" s="20"/>
      <c r="P29" s="20"/>
      <c r="Q29" s="20"/>
      <c r="R29" s="20"/>
      <c r="S29" s="32" t="str">
        <f>Pivots!A73</f>
        <v>C0007</v>
      </c>
      <c r="T29" s="33">
        <f>Pivots!B73</f>
        <v>1598</v>
      </c>
      <c r="U29" s="33">
        <f>Pivots!C73</f>
        <v>1907</v>
      </c>
      <c r="V29" s="33">
        <f>Pivots!D73</f>
        <v>869</v>
      </c>
      <c r="W29" s="33">
        <f>Pivots!E73</f>
        <v>1426</v>
      </c>
      <c r="X29" s="33">
        <f>Pivots!F73</f>
        <v>1416</v>
      </c>
      <c r="Y29" s="39">
        <f>Pivots!G73</f>
        <v>7216</v>
      </c>
      <c r="Z29" s="20"/>
      <c r="AA29" s="20"/>
      <c r="AB29" s="20"/>
      <c r="AC29" s="20"/>
      <c r="AD29" s="20"/>
      <c r="AE29" s="20"/>
      <c r="AF29" s="20"/>
      <c r="AG29" s="20"/>
      <c r="AH29" s="20"/>
      <c r="AI29" s="20"/>
      <c r="AJ29" s="20"/>
      <c r="AK29" s="20"/>
      <c r="AL29" s="20"/>
      <c r="AM29" s="20"/>
      <c r="AN29" s="20"/>
      <c r="AO29" s="20"/>
    </row>
    <row r="30" spans="1:55" x14ac:dyDescent="0.3">
      <c r="A30" s="20"/>
      <c r="B30" s="20"/>
      <c r="C30" s="20"/>
      <c r="D30" s="20"/>
      <c r="E30" s="20"/>
      <c r="F30" s="20"/>
      <c r="G30" s="20"/>
      <c r="H30" s="20"/>
      <c r="I30" s="20"/>
      <c r="J30" s="20"/>
      <c r="K30" s="20"/>
      <c r="L30" s="20"/>
      <c r="M30" s="20"/>
      <c r="N30" s="20"/>
      <c r="O30" s="20"/>
      <c r="P30" s="20"/>
      <c r="Q30" s="20"/>
      <c r="R30" s="20"/>
      <c r="S30" s="32" t="str">
        <f>Pivots!A74</f>
        <v>C0008</v>
      </c>
      <c r="T30" s="33">
        <f>Pivots!B74</f>
        <v>900</v>
      </c>
      <c r="U30" s="33">
        <f>Pivots!C74</f>
        <v>1016</v>
      </c>
      <c r="V30" s="33">
        <f>Pivots!D74</f>
        <v>960</v>
      </c>
      <c r="W30" s="33">
        <f>Pivots!E74</f>
        <v>940</v>
      </c>
      <c r="X30" s="33">
        <f>Pivots!F74</f>
        <v>1193</v>
      </c>
      <c r="Y30" s="39">
        <f>Pivots!G74</f>
        <v>5009</v>
      </c>
      <c r="Z30" s="20"/>
      <c r="AA30" s="20"/>
      <c r="AB30" s="20"/>
      <c r="AC30" s="20"/>
      <c r="AD30" s="20"/>
      <c r="AE30" s="20"/>
      <c r="AF30" s="20"/>
      <c r="AG30" s="20"/>
      <c r="AH30" s="20"/>
      <c r="AI30" s="20"/>
      <c r="AJ30" s="20"/>
      <c r="AK30" s="20"/>
      <c r="AL30" s="20"/>
      <c r="AM30" s="20"/>
      <c r="AN30" s="20"/>
      <c r="AO30" s="20"/>
    </row>
    <row r="31" spans="1:55" x14ac:dyDescent="0.3">
      <c r="A31" s="20"/>
      <c r="B31" s="20"/>
      <c r="C31" s="20"/>
      <c r="D31" s="20"/>
      <c r="E31" s="20"/>
      <c r="F31" s="20"/>
      <c r="G31" s="20"/>
      <c r="H31" s="20"/>
      <c r="I31" s="20"/>
      <c r="J31" s="20"/>
      <c r="K31" s="20"/>
      <c r="L31" s="20"/>
      <c r="M31" s="20"/>
      <c r="N31" s="20"/>
      <c r="O31" s="20"/>
      <c r="P31" s="20"/>
      <c r="Q31" s="20"/>
      <c r="R31" s="20"/>
      <c r="S31" s="32" t="str">
        <f>Pivots!A75</f>
        <v>C0010</v>
      </c>
      <c r="T31" s="33">
        <f>Pivots!B75</f>
        <v>900</v>
      </c>
      <c r="U31" s="33">
        <f>Pivots!C75</f>
        <v>1470</v>
      </c>
      <c r="V31" s="33">
        <f>Pivots!D75</f>
        <v>1617</v>
      </c>
      <c r="W31" s="33">
        <f>Pivots!E75</f>
        <v>1314</v>
      </c>
      <c r="X31" s="33">
        <f>Pivots!F75</f>
        <v>941</v>
      </c>
      <c r="Y31" s="39">
        <f>Pivots!G75</f>
        <v>6242</v>
      </c>
      <c r="Z31" s="20"/>
      <c r="AA31" s="20"/>
      <c r="AB31" s="20"/>
      <c r="AC31" s="20"/>
      <c r="AD31" s="20"/>
      <c r="AE31" s="20"/>
      <c r="AF31" s="20"/>
      <c r="AG31" s="20"/>
      <c r="AH31" s="20"/>
      <c r="AI31" s="20"/>
      <c r="AJ31" s="20"/>
      <c r="AK31" s="20"/>
      <c r="AL31" s="20"/>
      <c r="AM31" s="20"/>
      <c r="AN31" s="20"/>
      <c r="AO31" s="20"/>
    </row>
    <row r="32" spans="1:55" x14ac:dyDescent="0.3">
      <c r="A32" s="20"/>
      <c r="B32" s="20"/>
      <c r="C32" s="20"/>
      <c r="D32" s="20"/>
      <c r="E32" s="20"/>
      <c r="F32" s="20"/>
      <c r="G32" s="20"/>
      <c r="H32" s="20"/>
      <c r="I32" s="20"/>
      <c r="J32" s="20"/>
      <c r="K32" s="20"/>
      <c r="L32" s="20"/>
      <c r="M32" s="20"/>
      <c r="N32" s="20"/>
      <c r="O32" s="20"/>
      <c r="P32" s="20"/>
      <c r="Q32" s="20"/>
      <c r="R32" s="20"/>
      <c r="S32" s="32" t="str">
        <f>Pivots!A76</f>
        <v>C0013</v>
      </c>
      <c r="T32" s="33">
        <f>Pivots!B76</f>
        <v>1255</v>
      </c>
      <c r="U32" s="33">
        <f>Pivots!C76</f>
        <v>516</v>
      </c>
      <c r="V32" s="33">
        <f>Pivots!D76</f>
        <v>1874</v>
      </c>
      <c r="W32" s="33">
        <f>Pivots!E76</f>
        <v>1863</v>
      </c>
      <c r="X32" s="33">
        <f>Pivots!F76</f>
        <v>1722</v>
      </c>
      <c r="Y32" s="39">
        <f>Pivots!G76</f>
        <v>7230</v>
      </c>
      <c r="Z32" s="20"/>
      <c r="AA32" s="20"/>
      <c r="AB32" s="20"/>
      <c r="AC32" s="20"/>
      <c r="AD32" s="20"/>
      <c r="AE32" s="20"/>
      <c r="AF32" s="20"/>
      <c r="AG32" s="20"/>
      <c r="AH32" s="20"/>
      <c r="AI32" s="20"/>
      <c r="AJ32" s="20"/>
      <c r="AK32" s="20"/>
      <c r="AL32" s="20"/>
      <c r="AM32" s="20"/>
      <c r="AN32" s="20"/>
      <c r="AO32" s="20"/>
    </row>
    <row r="33" spans="1:55" x14ac:dyDescent="0.3">
      <c r="A33" s="20"/>
      <c r="B33" s="20"/>
      <c r="C33" s="20"/>
      <c r="D33" s="20"/>
      <c r="E33" s="20"/>
      <c r="F33" s="20"/>
      <c r="G33" s="20"/>
      <c r="H33" s="20"/>
      <c r="I33" s="20"/>
      <c r="J33" s="20"/>
      <c r="K33" s="20"/>
      <c r="L33" s="20"/>
      <c r="M33" s="20"/>
      <c r="N33" s="20"/>
      <c r="O33" s="20"/>
      <c r="P33" s="20"/>
      <c r="Q33" s="20"/>
      <c r="R33" s="20"/>
      <c r="S33" s="32" t="str">
        <f>Pivots!A77</f>
        <v>C0015</v>
      </c>
      <c r="T33" s="33">
        <f>Pivots!B77</f>
        <v>1138</v>
      </c>
      <c r="U33" s="33">
        <f>Pivots!C77</f>
        <v>1898</v>
      </c>
      <c r="V33" s="33">
        <f>Pivots!D77</f>
        <v>1482</v>
      </c>
      <c r="W33" s="33">
        <f>Pivots!E77</f>
        <v>846</v>
      </c>
      <c r="X33" s="33">
        <f>Pivots!F77</f>
        <v>1154</v>
      </c>
      <c r="Y33" s="39">
        <f>Pivots!G77</f>
        <v>6518</v>
      </c>
      <c r="Z33" s="20"/>
      <c r="AA33" s="20"/>
      <c r="AB33" s="20"/>
      <c r="AC33" s="20"/>
      <c r="AD33" s="20"/>
      <c r="AE33" s="20"/>
      <c r="AF33" s="20"/>
      <c r="AG33" s="20"/>
      <c r="AH33" s="20"/>
      <c r="AI33" s="20"/>
      <c r="AJ33" s="20"/>
      <c r="AK33" s="20"/>
      <c r="AL33" s="20"/>
      <c r="AM33" s="20"/>
      <c r="AN33" s="20"/>
      <c r="AO33" s="20"/>
    </row>
    <row r="34" spans="1:55" x14ac:dyDescent="0.3">
      <c r="A34" s="20"/>
      <c r="B34" s="20"/>
      <c r="C34" s="20"/>
      <c r="D34" s="20"/>
      <c r="E34" s="20"/>
      <c r="F34" s="20"/>
      <c r="G34" s="20"/>
      <c r="H34" s="20"/>
      <c r="I34" s="20"/>
      <c r="J34" s="20"/>
      <c r="K34" s="20"/>
      <c r="L34" s="20"/>
      <c r="M34" s="20"/>
      <c r="N34" s="20"/>
      <c r="O34" s="20"/>
      <c r="P34" s="20"/>
      <c r="Q34" s="20"/>
      <c r="R34" s="20"/>
      <c r="S34" s="37" t="str">
        <f>Pivots!A78</f>
        <v>Columbus</v>
      </c>
      <c r="T34" s="33"/>
      <c r="U34" s="33"/>
      <c r="V34" s="33"/>
      <c r="W34" s="33"/>
      <c r="X34" s="33"/>
      <c r="Y34" s="39"/>
      <c r="Z34" s="20"/>
      <c r="AA34" s="20"/>
      <c r="AB34" s="20"/>
      <c r="AC34" s="20"/>
      <c r="AD34" s="20"/>
      <c r="AE34" s="20"/>
      <c r="AF34" s="20"/>
      <c r="AG34" s="20"/>
      <c r="AH34" s="20"/>
      <c r="AI34" s="20"/>
      <c r="AJ34" s="20"/>
      <c r="AK34" s="20"/>
      <c r="AL34" s="20"/>
      <c r="AM34" s="20"/>
      <c r="AN34" s="20"/>
      <c r="AO34" s="20"/>
    </row>
    <row r="35" spans="1:55" x14ac:dyDescent="0.3">
      <c r="A35" s="20"/>
      <c r="B35" s="20"/>
      <c r="C35" s="20"/>
      <c r="D35" s="20"/>
      <c r="E35" s="20"/>
      <c r="F35" s="20"/>
      <c r="G35" s="20"/>
      <c r="H35" s="20"/>
      <c r="I35" s="20"/>
      <c r="J35" s="20"/>
      <c r="K35" s="20"/>
      <c r="L35" s="20"/>
      <c r="M35" s="20"/>
      <c r="N35" s="20"/>
      <c r="O35" s="20"/>
      <c r="P35" s="20"/>
      <c r="Q35" s="20"/>
      <c r="R35" s="20"/>
      <c r="S35" s="32" t="str">
        <f>Pivots!A79</f>
        <v>C0001</v>
      </c>
      <c r="T35" s="33">
        <f>Pivots!B79</f>
        <v>1655</v>
      </c>
      <c r="U35" s="33">
        <f>Pivots!C79</f>
        <v>805</v>
      </c>
      <c r="V35" s="33">
        <f>Pivots!D79</f>
        <v>2263</v>
      </c>
      <c r="W35" s="33">
        <f>Pivots!E79</f>
        <v>987</v>
      </c>
      <c r="X35" s="33">
        <f>Pivots!F79</f>
        <v>1075</v>
      </c>
      <c r="Y35" s="39">
        <f>Pivots!G79</f>
        <v>6785</v>
      </c>
      <c r="Z35" s="20"/>
      <c r="AA35" s="20"/>
      <c r="AB35" s="20"/>
      <c r="AC35" s="20"/>
      <c r="AD35" s="20"/>
      <c r="AE35" s="20"/>
      <c r="AF35" s="20"/>
      <c r="AG35" s="20"/>
      <c r="AH35" s="20"/>
      <c r="AI35" s="20"/>
      <c r="AJ35" s="20"/>
      <c r="AK35" s="20"/>
      <c r="AL35" s="20"/>
      <c r="AM35" s="20"/>
      <c r="AN35" s="20"/>
      <c r="AO35" s="20"/>
    </row>
    <row r="36" spans="1:55" x14ac:dyDescent="0.3">
      <c r="A36" s="20"/>
      <c r="B36" s="20"/>
      <c r="C36" s="20"/>
      <c r="D36" s="20"/>
      <c r="E36" s="20"/>
      <c r="F36" s="20"/>
      <c r="G36" s="20"/>
      <c r="H36" s="20"/>
      <c r="I36" s="20"/>
      <c r="J36" s="20"/>
      <c r="K36" s="20"/>
      <c r="L36" s="20"/>
      <c r="M36" s="20"/>
      <c r="N36" s="20"/>
      <c r="O36" s="20"/>
      <c r="P36" s="20"/>
      <c r="Q36" s="20"/>
      <c r="R36" s="20"/>
      <c r="S36" s="32" t="str">
        <f>Pivots!A80</f>
        <v>C0005</v>
      </c>
      <c r="T36" s="33">
        <f>Pivots!B80</f>
        <v>1104</v>
      </c>
      <c r="U36" s="33">
        <f>Pivots!C80</f>
        <v>2280</v>
      </c>
      <c r="V36" s="33">
        <f>Pivots!D80</f>
        <v>1445</v>
      </c>
      <c r="W36" s="33">
        <f>Pivots!E80</f>
        <v>1722</v>
      </c>
      <c r="X36" s="33">
        <f>Pivots!F80</f>
        <v>1196</v>
      </c>
      <c r="Y36" s="39">
        <f>Pivots!G80</f>
        <v>7747</v>
      </c>
      <c r="Z36" s="20"/>
      <c r="AA36" s="20"/>
      <c r="AB36" s="20"/>
      <c r="AC36" s="20"/>
      <c r="AD36" s="20"/>
      <c r="AE36" s="20"/>
      <c r="AF36" s="20"/>
      <c r="AG36" s="20"/>
      <c r="AH36" s="20"/>
      <c r="AI36" s="20"/>
      <c r="AJ36" s="20"/>
      <c r="AK36" s="20"/>
      <c r="AL36" s="20"/>
      <c r="AM36" s="20"/>
      <c r="AN36" s="20"/>
      <c r="AO36" s="20"/>
    </row>
    <row r="37" spans="1:55" x14ac:dyDescent="0.3">
      <c r="A37" s="20"/>
      <c r="B37" s="20"/>
      <c r="C37" s="20"/>
      <c r="D37" s="20"/>
      <c r="E37" s="20"/>
      <c r="F37" s="20"/>
      <c r="G37" s="20"/>
      <c r="H37" s="20"/>
      <c r="I37" s="20"/>
      <c r="J37" s="20"/>
      <c r="K37" s="20"/>
      <c r="L37" s="20"/>
      <c r="M37" s="20"/>
      <c r="N37" s="20"/>
      <c r="O37" s="20"/>
      <c r="P37" s="20"/>
      <c r="Q37" s="20"/>
      <c r="R37" s="20"/>
      <c r="S37" s="32" t="str">
        <f>Pivots!A81</f>
        <v>C0006</v>
      </c>
      <c r="T37" s="33">
        <f>Pivots!B81</f>
        <v>372</v>
      </c>
      <c r="U37" s="33">
        <f>Pivots!C81</f>
        <v>1818</v>
      </c>
      <c r="V37" s="33">
        <f>Pivots!D81</f>
        <v>1346</v>
      </c>
      <c r="W37" s="33">
        <f>Pivots!E81</f>
        <v>1156</v>
      </c>
      <c r="X37" s="33">
        <f>Pivots!F81</f>
        <v>1484</v>
      </c>
      <c r="Y37" s="39">
        <f>Pivots!G81</f>
        <v>6176</v>
      </c>
      <c r="Z37" s="20"/>
      <c r="AA37" s="20"/>
      <c r="AB37" s="20"/>
      <c r="AC37" s="20"/>
      <c r="AD37" s="20"/>
      <c r="AE37" s="20"/>
      <c r="AF37" s="20"/>
      <c r="AG37" s="20"/>
      <c r="AH37" s="20"/>
      <c r="AI37" s="20"/>
      <c r="AJ37" s="20"/>
      <c r="AK37" s="20"/>
      <c r="AL37" s="20"/>
      <c r="AM37" s="20"/>
      <c r="AN37" s="20"/>
      <c r="AO37" s="20"/>
    </row>
    <row r="38" spans="1:55" x14ac:dyDescent="0.3">
      <c r="A38" s="20"/>
      <c r="B38" s="20"/>
      <c r="C38" s="20"/>
      <c r="D38" s="20"/>
      <c r="E38" s="20"/>
      <c r="F38" s="20"/>
      <c r="G38" s="20"/>
      <c r="H38" s="20"/>
      <c r="I38" s="20"/>
      <c r="J38" s="20"/>
      <c r="K38" s="20"/>
      <c r="L38" s="20"/>
      <c r="M38" s="20"/>
      <c r="N38" s="20"/>
      <c r="O38" s="20"/>
      <c r="P38" s="20"/>
      <c r="Q38" s="20"/>
      <c r="R38" s="20"/>
      <c r="S38" s="32" t="str">
        <f>Pivots!A82</f>
        <v>C0009</v>
      </c>
      <c r="T38" s="33">
        <f>Pivots!B82</f>
        <v>1415</v>
      </c>
      <c r="U38" s="33">
        <f>Pivots!C82</f>
        <v>1271</v>
      </c>
      <c r="V38" s="33">
        <f>Pivots!D82</f>
        <v>1214</v>
      </c>
      <c r="W38" s="33">
        <f>Pivots!E82</f>
        <v>1135</v>
      </c>
      <c r="X38" s="33">
        <f>Pivots!F82</f>
        <v>1566</v>
      </c>
      <c r="Y38" s="39">
        <f>Pivots!G82</f>
        <v>6601</v>
      </c>
      <c r="Z38" s="20"/>
      <c r="AA38" s="20"/>
      <c r="AB38" s="20"/>
      <c r="AC38" s="20"/>
      <c r="AD38" s="20"/>
      <c r="AE38" s="20"/>
      <c r="AF38" s="20"/>
      <c r="AG38" s="20"/>
      <c r="AH38" s="20"/>
      <c r="AI38" s="20"/>
      <c r="AJ38" s="20"/>
      <c r="AK38" s="20"/>
      <c r="AL38" s="20"/>
      <c r="AM38" s="20"/>
      <c r="AN38" s="20"/>
      <c r="AO38" s="20"/>
    </row>
    <row r="39" spans="1:55" x14ac:dyDescent="0.3">
      <c r="A39" s="20"/>
      <c r="B39" s="20"/>
      <c r="C39" s="20"/>
      <c r="D39" s="20"/>
      <c r="E39" s="20"/>
      <c r="F39" s="20"/>
      <c r="G39" s="20"/>
      <c r="H39" s="20"/>
      <c r="I39" s="20"/>
      <c r="J39" s="20"/>
      <c r="K39" s="20"/>
      <c r="L39" s="20"/>
      <c r="M39" s="20"/>
      <c r="N39" s="20"/>
      <c r="O39" s="20"/>
      <c r="P39" s="20"/>
      <c r="Q39" s="20"/>
      <c r="R39" s="20"/>
      <c r="S39" s="34" t="str">
        <f>Pivots!A83</f>
        <v>C0014</v>
      </c>
      <c r="T39" s="35">
        <f>Pivots!B83</f>
        <v>1362</v>
      </c>
      <c r="U39" s="35">
        <f>Pivots!C83</f>
        <v>1363</v>
      </c>
      <c r="V39" s="35">
        <f>Pivots!D83</f>
        <v>1152</v>
      </c>
      <c r="W39" s="35">
        <f>Pivots!E83</f>
        <v>777</v>
      </c>
      <c r="X39" s="35">
        <f>Pivots!F83</f>
        <v>750</v>
      </c>
      <c r="Y39" s="40">
        <f>Pivots!G83</f>
        <v>5404</v>
      </c>
      <c r="Z39" s="20"/>
      <c r="AA39" s="20"/>
      <c r="AB39" s="20"/>
      <c r="AC39" s="20"/>
      <c r="AD39" s="20"/>
      <c r="AE39" s="20"/>
      <c r="AF39" s="20"/>
      <c r="AG39" s="20"/>
      <c r="AH39" s="20"/>
      <c r="AI39" s="20"/>
      <c r="AJ39" s="20"/>
      <c r="AK39" s="20"/>
      <c r="AL39" s="20"/>
      <c r="AM39" s="20"/>
      <c r="AN39" s="20"/>
      <c r="AO39" s="20"/>
    </row>
    <row r="40" spans="1:55"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30"/>
      <c r="Z40" s="20"/>
      <c r="AA40" s="20"/>
      <c r="AB40" s="20"/>
      <c r="AC40" s="20"/>
      <c r="AD40" s="20"/>
      <c r="AE40" s="20"/>
      <c r="AF40" s="20"/>
      <c r="AG40" s="20"/>
      <c r="AH40" s="20"/>
      <c r="AI40" s="20"/>
      <c r="AJ40" s="20"/>
      <c r="AK40" s="20"/>
      <c r="AL40" s="20"/>
      <c r="AM40" s="20"/>
      <c r="AN40" s="20"/>
      <c r="AO40" s="20"/>
    </row>
    <row r="41" spans="1:55"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row>
    <row r="42" spans="1:55"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row>
    <row r="43" spans="1:55"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row>
    <row r="44" spans="1:55"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row>
    <row r="45" spans="1:55" x14ac:dyDescent="0.3">
      <c r="A45" s="20"/>
      <c r="B45" s="20"/>
      <c r="C45" s="20"/>
      <c r="D45" s="20"/>
      <c r="E45" s="20"/>
      <c r="F45" s="20"/>
      <c r="G45" s="20"/>
      <c r="H45" s="20"/>
      <c r="I45" s="20"/>
      <c r="J45" s="20"/>
      <c r="K45" s="20"/>
      <c r="L45" s="20"/>
      <c r="M45" s="20"/>
      <c r="N45" s="20"/>
      <c r="O45" s="20"/>
      <c r="P45" s="20"/>
      <c r="Q45" s="20"/>
      <c r="R45" s="20"/>
      <c r="S45" s="3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row>
    <row r="46" spans="1:55"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row>
    <row r="47" spans="1:55"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row>
    <row r="48" spans="1:55"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row>
    <row r="49" spans="1:55"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row>
    <row r="50" spans="1:55"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row>
    <row r="51" spans="1:55"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row>
    <row r="52" spans="1:55"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row>
    <row r="53" spans="1:55"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row>
    <row r="54" spans="1:55"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row>
    <row r="55" spans="1:55"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row>
    <row r="56" spans="1:55"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row>
  </sheetData>
  <conditionalFormatting sqref="S22:X39">
    <cfRule type="dataBar" priority="2">
      <dataBar>
        <cfvo type="num" val="0"/>
        <cfvo type="formula" val="MAX($T$22:$X$39)*2"/>
        <color theme="1" tint="0.249977111117893"/>
      </dataBar>
      <extLst>
        <ext xmlns:x14="http://schemas.microsoft.com/office/spreadsheetml/2009/9/main" uri="{B025F937-C7B1-47D3-B67F-A62EFF666E3E}">
          <x14:id>{C17E7C57-8201-428F-A755-93CFA295E4BB}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17E7C57-8201-428F-A755-93CFA295E4BB}">
            <x14:dataBar minLength="0" maxLength="100" gradient="0">
              <x14:cfvo type="num">
                <xm:f>0</xm:f>
              </x14:cfvo>
              <x14:cfvo type="formula">
                <xm:f>MAX($T$22:$X$39)*2</xm:f>
              </x14:cfvo>
              <x14:negativeFillColor rgb="FFFF0000"/>
              <x14:axisColor rgb="FF000000"/>
            </x14:dataBar>
          </x14:cfRule>
          <xm:sqref>S22:X39</xm:sqref>
        </x14:conditionalFormatting>
        <x14:conditionalFormatting xmlns:xm="http://schemas.microsoft.com/office/excel/2006/main">
          <x14:cfRule type="expression" priority="4" id="{22DEBCEB-E7D2-4A90-9DAC-B149A1E01050}">
            <xm:f>T$21=Pivots!$A$42</xm:f>
            <x14:dxf>
              <fill>
                <patternFill>
                  <bgColor theme="8" tint="0.59996337778862885"/>
                </patternFill>
              </fill>
              <border>
                <left style="thin">
                  <color theme="1" tint="0.34998626667073579"/>
                </left>
                <right style="thin">
                  <color theme="1" tint="0.34998626667073579"/>
                </right>
                <vertical/>
                <horizontal/>
              </border>
            </x14:dxf>
          </x14:cfRule>
          <xm:sqref>T21:X39</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B1" zoomScale="115" zoomScaleNormal="115" workbookViewId="0">
      <selection activeCell="I11" sqref="I11"/>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pulluruheenasai12345@hotmail.com</cp:lastModifiedBy>
  <dcterms:created xsi:type="dcterms:W3CDTF">2021-03-14T20:21:32Z</dcterms:created>
  <dcterms:modified xsi:type="dcterms:W3CDTF">2026-04-12T19:52:25Z</dcterms:modified>
</cp:coreProperties>
</file>